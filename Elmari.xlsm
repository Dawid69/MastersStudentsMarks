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3.xml" ContentType="application/vnd.openxmlformats-officedocument.spreadsheetml.table+xml"/>
  <Override PartName="/xl/styles.xml" ContentType="application/vnd.openxmlformats-officedocument.spreadsheetml.style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studentInput" sheetId="1" state="visible" r:id="rId3"/>
    <sheet name="lists" sheetId="2" state="visible" r:id="rId4"/>
    <sheet name="studentList" sheetId="3" state="visible" r:id="rId5"/>
  </sheets>
  <definedNames>
    <definedName function="true" hidden="false" name="Module1.import_sub" vbProcedure="true"/>
    <definedName function="true" hidden="false" name="Module1.new_student" vbProcedure="true"/>
    <definedName function="true" hidden="false" name="Module1.exportStudent" vbProcedure="true"/>
    <definedName function="true" hidden="false" name="Module1.undo_mark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<sst xmlns="http://schemas.openxmlformats.org/spreadsheetml/2006/main" count="826" uniqueCount="818">
  <si>
    <t xml:space="preserve">Enter student details Here:</t>
  </si>
  <si>
    <t xml:space="preserve">Name:</t>
  </si>
  <si>
    <t xml:space="preserve">Surname:</t>
  </si>
  <si>
    <t xml:space="preserve">Subject </t>
  </si>
  <si>
    <t xml:space="preserve">Year</t>
  </si>
  <si>
    <t xml:space="preserve">Grade</t>
  </si>
  <si>
    <t xml:space="preserve">Field Choice:</t>
  </si>
  <si>
    <t xml:space="preserve">Section A:</t>
  </si>
  <si>
    <t xml:space="preserve">Subject Info:</t>
  </si>
  <si>
    <t xml:space="preserve">Masters (Psyc) Mark:</t>
  </si>
  <si>
    <t xml:space="preserve">APSY 212</t>
  </si>
  <si>
    <t xml:space="preserve">PhD (Psyc) Completed: 0 OR 1</t>
  </si>
  <si>
    <t xml:space="preserve">Year:</t>
  </si>
  <si>
    <t xml:space="preserve">Grade:</t>
  </si>
  <si>
    <t xml:space="preserve">University:</t>
  </si>
  <si>
    <t xml:space="preserve">Hons:</t>
  </si>
  <si>
    <t xml:space="preserve">Location:</t>
  </si>
  <si>
    <t xml:space="preserve">Section B:</t>
  </si>
  <si>
    <t xml:space="preserve">Work Experience:</t>
  </si>
  <si>
    <t xml:space="preserve">Academic (Non psychology):</t>
  </si>
  <si>
    <t xml:space="preserve">Subject</t>
  </si>
  <si>
    <t xml:space="preserve">Work Experience</t>
  </si>
  <si>
    <t xml:space="preserve">Weight</t>
  </si>
  <si>
    <t xml:space="preserve">Academic Experience</t>
  </si>
  <si>
    <t xml:space="preserve">Field Choice</t>
  </si>
  <si>
    <t xml:space="preserve">APSY 111</t>
  </si>
  <si>
    <t xml:space="preserve">Psychologist</t>
  </si>
  <si>
    <t xml:space="preserve">PhD</t>
  </si>
  <si>
    <t xml:space="preserve">Counselling</t>
  </si>
  <si>
    <t xml:space="preserve">APSY 112</t>
  </si>
  <si>
    <t xml:space="preserve">Registered counsellor</t>
  </si>
  <si>
    <t xml:space="preserve">Masters</t>
  </si>
  <si>
    <t xml:space="preserve">Clinical</t>
  </si>
  <si>
    <t xml:space="preserve">APSY 211</t>
  </si>
  <si>
    <t xml:space="preserve">Social worker</t>
  </si>
  <si>
    <t xml:space="preserve">No Preference</t>
  </si>
  <si>
    <t xml:space="preserve">Honours/B.Psyc</t>
  </si>
  <si>
    <t xml:space="preserve">Medical doctor</t>
  </si>
  <si>
    <t xml:space="preserve">APSY 221</t>
  </si>
  <si>
    <t xml:space="preserve">Teacher/lecturer</t>
  </si>
  <si>
    <t xml:space="preserve">APSY 222</t>
  </si>
  <si>
    <t xml:space="preserve">(B.Ed/NGOS)</t>
  </si>
  <si>
    <t xml:space="preserve">APSY 232</t>
  </si>
  <si>
    <t xml:space="preserve">Speech therapist</t>
  </si>
  <si>
    <t xml:space="preserve">APSY 311</t>
  </si>
  <si>
    <t xml:space="preserve">Occupational therapist</t>
  </si>
  <si>
    <t xml:space="preserve">APSY 312</t>
  </si>
  <si>
    <t xml:space="preserve">Traditional healers (registered at Traditional Health practitioner of SA</t>
  </si>
  <si>
    <t xml:space="preserve">APSY 321</t>
  </si>
  <si>
    <t xml:space="preserve">Dentist</t>
  </si>
  <si>
    <t xml:space="preserve">Control Panel: Refer to Readme!!!!</t>
  </si>
  <si>
    <t xml:space="preserve">APSY 322</t>
  </si>
  <si>
    <t xml:space="preserve">Nursing</t>
  </si>
  <si>
    <t xml:space="preserve">LineCounter:</t>
  </si>
  <si>
    <t xml:space="preserve">Default 2</t>
  </si>
  <si>
    <t xml:space="preserve">M Completed:</t>
  </si>
  <si>
    <t xml:space="preserve">APSY 331</t>
  </si>
  <si>
    <t xml:space="preserve">Psychometrist</t>
  </si>
  <si>
    <t xml:space="preserve">Unique Years:</t>
  </si>
  <si>
    <t xml:space="preserve">PhD:</t>
  </si>
  <si>
    <t xml:space="preserve">APSY 332</t>
  </si>
  <si>
    <t xml:space="preserve">Research psychologist</t>
  </si>
  <si>
    <t xml:space="preserve">Current Year:</t>
  </si>
  <si>
    <t xml:space="preserve">Work Exp Type</t>
  </si>
  <si>
    <t xml:space="preserve">BPS 1841</t>
  </si>
  <si>
    <t xml:space="preserve">Radiographer</t>
  </si>
  <si>
    <t xml:space="preserve">Y1</t>
  </si>
  <si>
    <t xml:space="preserve">Academic Exp Type</t>
  </si>
  <si>
    <t xml:space="preserve">BPS 1842</t>
  </si>
  <si>
    <t xml:space="preserve">Internship in a helper profession</t>
  </si>
  <si>
    <t xml:space="preserve">Y2</t>
  </si>
  <si>
    <t xml:space="preserve">Y1 Count:</t>
  </si>
  <si>
    <t xml:space="preserve">BPS 1843</t>
  </si>
  <si>
    <t xml:space="preserve">Other Professional</t>
  </si>
  <si>
    <t xml:space="preserve">Y3</t>
  </si>
  <si>
    <t xml:space="preserve">Y2 Count:</t>
  </si>
  <si>
    <t xml:space="preserve">BPS 1844</t>
  </si>
  <si>
    <t xml:space="preserve">Au pair</t>
  </si>
  <si>
    <t xml:space="preserve">YH</t>
  </si>
  <si>
    <t xml:space="preserve">Y3 Count:</t>
  </si>
  <si>
    <t xml:space="preserve">BPS 1845</t>
  </si>
  <si>
    <t xml:space="preserve">Volunteer at a care facility</t>
  </si>
  <si>
    <t xml:space="preserve">YM AVG</t>
  </si>
  <si>
    <t xml:space="preserve">Hons Count:</t>
  </si>
  <si>
    <t xml:space="preserve">BPS 2841</t>
  </si>
  <si>
    <t xml:space="preserve">SJGD</t>
  </si>
  <si>
    <t xml:space="preserve">YPHD</t>
  </si>
  <si>
    <t xml:space="preserve">BPS 2842</t>
  </si>
  <si>
    <t xml:space="preserve">Any voluntary work in a helping capacity</t>
  </si>
  <si>
    <t xml:space="preserve">Section A </t>
  </si>
  <si>
    <t xml:space="preserve">BPS 2843</t>
  </si>
  <si>
    <t xml:space="preserve">Counselling position and registered with any board (i.e. Lifeline)</t>
  </si>
  <si>
    <t xml:space="preserve">X</t>
  </si>
  <si>
    <t xml:space="preserve">BPS 2844</t>
  </si>
  <si>
    <t xml:space="preserve">Auxiliary worker (Allied health professions)</t>
  </si>
  <si>
    <t xml:space="preserve">Work Exp Weight</t>
  </si>
  <si>
    <t xml:space="preserve">BPS 2845</t>
  </si>
  <si>
    <t xml:space="preserve">Police</t>
  </si>
  <si>
    <t xml:space="preserve">Academic Exp Weight</t>
  </si>
  <si>
    <t xml:space="preserve">BPS 3841</t>
  </si>
  <si>
    <t xml:space="preserve">Pastoral or religious counsellors</t>
  </si>
  <si>
    <t xml:space="preserve">Section B</t>
  </si>
  <si>
    <t xml:space="preserve">BPS 3842</t>
  </si>
  <si>
    <t xml:space="preserve">Practical work as part of social work and teaching</t>
  </si>
  <si>
    <t xml:space="preserve">Y</t>
  </si>
  <si>
    <t xml:space="preserve">BPS 3843</t>
  </si>
  <si>
    <t xml:space="preserve">Other Non-Professional</t>
  </si>
  <si>
    <t xml:space="preserve">Final Score:</t>
  </si>
  <si>
    <t xml:space="preserve">BPS 3844</t>
  </si>
  <si>
    <t xml:space="preserve">Waiter</t>
  </si>
  <si>
    <t xml:space="preserve">CORM 211</t>
  </si>
  <si>
    <t xml:space="preserve">Accountant</t>
  </si>
  <si>
    <t xml:space="preserve">ECAP 2614</t>
  </si>
  <si>
    <t xml:space="preserve">Sales</t>
  </si>
  <si>
    <t xml:space="preserve">GNS2B21</t>
  </si>
  <si>
    <t xml:space="preserve">Lawyer</t>
  </si>
  <si>
    <t xml:space="preserve">GS12A11</t>
  </si>
  <si>
    <t xml:space="preserve">Student facilitator</t>
  </si>
  <si>
    <t xml:space="preserve">HPSA 000</t>
  </si>
  <si>
    <t xml:space="preserve">Other General</t>
  </si>
  <si>
    <t xml:space="preserve">HPSA 021</t>
  </si>
  <si>
    <t xml:space="preserve">HPSA 022</t>
  </si>
  <si>
    <t xml:space="preserve">HPSA 031</t>
  </si>
  <si>
    <t xml:space="preserve">HPSA 032</t>
  </si>
  <si>
    <t xml:space="preserve">HPSA 231</t>
  </si>
  <si>
    <t xml:space="preserve">HPSA 241</t>
  </si>
  <si>
    <t xml:space="preserve">HPSA O22</t>
  </si>
  <si>
    <t xml:space="preserve">HPSB 000</t>
  </si>
  <si>
    <t xml:space="preserve">HPSB 021</t>
  </si>
  <si>
    <t xml:space="preserve">HPSB 022</t>
  </si>
  <si>
    <t xml:space="preserve">HPSB 031</t>
  </si>
  <si>
    <t xml:space="preserve">HPSB 032</t>
  </si>
  <si>
    <t xml:space="preserve">HPSY 011</t>
  </si>
  <si>
    <t xml:space="preserve">HPSY 012</t>
  </si>
  <si>
    <t xml:space="preserve">HPSY 021</t>
  </si>
  <si>
    <t xml:space="preserve">HPSY 022</t>
  </si>
  <si>
    <t xml:space="preserve">HPSY 031</t>
  </si>
  <si>
    <t xml:space="preserve">HPSY 032</t>
  </si>
  <si>
    <t xml:space="preserve">HPSY 131</t>
  </si>
  <si>
    <t xml:space="preserve">HPSY 141</t>
  </si>
  <si>
    <t xml:space="preserve">HPSY 151</t>
  </si>
  <si>
    <t xml:space="preserve">HPSY 161</t>
  </si>
  <si>
    <t xml:space="preserve">HPSY 211</t>
  </si>
  <si>
    <t xml:space="preserve">HPSY 231</t>
  </si>
  <si>
    <t xml:space="preserve">HPSY 241</t>
  </si>
  <si>
    <t xml:space="preserve">HPSY 251</t>
  </si>
  <si>
    <t xml:space="preserve">HPSY 252</t>
  </si>
  <si>
    <t xml:space="preserve">HPSY 261</t>
  </si>
  <si>
    <t xml:space="preserve">HPSY 323</t>
  </si>
  <si>
    <t xml:space="preserve">HPSY 331</t>
  </si>
  <si>
    <t xml:space="preserve">HPSY 341</t>
  </si>
  <si>
    <t xml:space="preserve">HPSY 342</t>
  </si>
  <si>
    <t xml:space="preserve">HPSY 351</t>
  </si>
  <si>
    <t xml:space="preserve">HPSY 353</t>
  </si>
  <si>
    <t xml:space="preserve">HPSY 361</t>
  </si>
  <si>
    <t xml:space="preserve">HPSY 363</t>
  </si>
  <si>
    <t xml:space="preserve">ILIA STATE</t>
  </si>
  <si>
    <t xml:space="preserve">INSTITUTE</t>
  </si>
  <si>
    <t xml:space="preserve">IOPS 111</t>
  </si>
  <si>
    <t xml:space="preserve">IPS 100</t>
  </si>
  <si>
    <t xml:space="preserve">PCLY 100</t>
  </si>
  <si>
    <t xml:space="preserve">PCLY 200</t>
  </si>
  <si>
    <t xml:space="preserve">PCLY 300</t>
  </si>
  <si>
    <t xml:space="preserve">PCYL 100</t>
  </si>
  <si>
    <t xml:space="preserve">PCYL 200</t>
  </si>
  <si>
    <t xml:space="preserve">PCYL 300</t>
  </si>
  <si>
    <t xml:space="preserve">PSCY 202</t>
  </si>
  <si>
    <t xml:space="preserve">PSDE 1624</t>
  </si>
  <si>
    <t xml:space="preserve">PSG 111</t>
  </si>
  <si>
    <t xml:space="preserve">PSG 121</t>
  </si>
  <si>
    <t xml:space="preserve">PSG 211</t>
  </si>
  <si>
    <t xml:space="preserve">PSG 212</t>
  </si>
  <si>
    <t xml:space="preserve">PSG 311</t>
  </si>
  <si>
    <t xml:space="preserve">PSG 321</t>
  </si>
  <si>
    <t xml:space="preserve">PSIG 131</t>
  </si>
  <si>
    <t xml:space="preserve">PSIG 151</t>
  </si>
  <si>
    <t xml:space="preserve">PSIG 161</t>
  </si>
  <si>
    <t xml:space="preserve">PSIG 211</t>
  </si>
  <si>
    <t xml:space="preserve">PSIG 241</t>
  </si>
  <si>
    <t xml:space="preserve">PSIG 251</t>
  </si>
  <si>
    <t xml:space="preserve">PSIG 252</t>
  </si>
  <si>
    <t xml:space="preserve">PSIG 261</t>
  </si>
  <si>
    <t xml:space="preserve">PSIG 262</t>
  </si>
  <si>
    <t xml:space="preserve">PSIG 311</t>
  </si>
  <si>
    <t xml:space="preserve">PSIG 323</t>
  </si>
  <si>
    <t xml:space="preserve">PSIG 342</t>
  </si>
  <si>
    <t xml:space="preserve">PSIG 353</t>
  </si>
  <si>
    <t xml:space="preserve">PSIG 363</t>
  </si>
  <si>
    <t xml:space="preserve">PSIH 2724</t>
  </si>
  <si>
    <t xml:space="preserve">PSIN 1514</t>
  </si>
  <si>
    <t xml:space="preserve">PSPA 3714</t>
  </si>
  <si>
    <t xml:space="preserve">PSPE 3724</t>
  </si>
  <si>
    <t xml:space="preserve">PSPS 3714</t>
  </si>
  <si>
    <t xml:space="preserve">PSRM 3714</t>
  </si>
  <si>
    <t xml:space="preserve">PSSO 2613</t>
  </si>
  <si>
    <t xml:space="preserve">PSSO 2614</t>
  </si>
  <si>
    <t xml:space="preserve">PSTH 3724</t>
  </si>
  <si>
    <t xml:space="preserve">PSY 100</t>
  </si>
  <si>
    <t xml:space="preserve">PSY 100-X</t>
  </si>
  <si>
    <t xml:space="preserve">PSY 1001</t>
  </si>
  <si>
    <t xml:space="preserve">PSY 1001W</t>
  </si>
  <si>
    <t xml:space="preserve">PSY 1004</t>
  </si>
  <si>
    <t xml:space="preserve">PSY 1004F</t>
  </si>
  <si>
    <t xml:space="preserve">PSY 1005</t>
  </si>
  <si>
    <t xml:space="preserve">PSY 1005S</t>
  </si>
  <si>
    <t xml:space="preserve">PSY 101</t>
  </si>
  <si>
    <t xml:space="preserve">PSY 1011</t>
  </si>
  <si>
    <t xml:space="preserve">PSY 101W</t>
  </si>
  <si>
    <t xml:space="preserve">PSY 102</t>
  </si>
  <si>
    <t xml:space="preserve">PSY 1022</t>
  </si>
  <si>
    <t xml:space="preserve">PSY 1023</t>
  </si>
  <si>
    <t xml:space="preserve">PSY 103</t>
  </si>
  <si>
    <t xml:space="preserve">PSY 104</t>
  </si>
  <si>
    <t xml:space="preserve">PSY 105</t>
  </si>
  <si>
    <t xml:space="preserve">PSY 108</t>
  </si>
  <si>
    <t xml:space="preserve">PSY 111</t>
  </si>
  <si>
    <t xml:space="preserve">PSY 112</t>
  </si>
  <si>
    <t xml:space="preserve">PSY 122</t>
  </si>
  <si>
    <t xml:space="preserve">PSY 124</t>
  </si>
  <si>
    <t xml:space="preserve">PSY 132</t>
  </si>
  <si>
    <t xml:space="preserve">PSY 140</t>
  </si>
  <si>
    <t xml:space="preserve">PSY 142</t>
  </si>
  <si>
    <t xml:space="preserve">PSY 150-1</t>
  </si>
  <si>
    <t xml:space="preserve">PSY 150-2</t>
  </si>
  <si>
    <t xml:space="preserve">PSY 1502</t>
  </si>
  <si>
    <t xml:space="preserve">PSY 152</t>
  </si>
  <si>
    <t xml:space="preserve">PSY 1541</t>
  </si>
  <si>
    <t xml:space="preserve">PSY 1641</t>
  </si>
  <si>
    <t xml:space="preserve">PSY 170</t>
  </si>
  <si>
    <t xml:space="preserve">PSY 180</t>
  </si>
  <si>
    <t xml:space="preserve">PSY 191</t>
  </si>
  <si>
    <t xml:space="preserve">PSY 192</t>
  </si>
  <si>
    <t xml:space="preserve">PSY 193</t>
  </si>
  <si>
    <t xml:space="preserve">PSY 195</t>
  </si>
  <si>
    <t xml:space="preserve">PSY 1A</t>
  </si>
  <si>
    <t xml:space="preserve">PSY 1A11</t>
  </si>
  <si>
    <t xml:space="preserve">PSY 1AA1</t>
  </si>
  <si>
    <t xml:space="preserve">PSY 1B</t>
  </si>
  <si>
    <t xml:space="preserve">PSY 1B21</t>
  </si>
  <si>
    <t xml:space="preserve">PSY 1BB1</t>
  </si>
  <si>
    <t xml:space="preserve">PSY 200</t>
  </si>
  <si>
    <t xml:space="preserve">PSY 200-4</t>
  </si>
  <si>
    <t xml:space="preserve">PSY 2003</t>
  </si>
  <si>
    <t xml:space="preserve">PSY 2003S</t>
  </si>
  <si>
    <t xml:space="preserve">PSY 2005</t>
  </si>
  <si>
    <t xml:space="preserve">PSY 2006</t>
  </si>
  <si>
    <t xml:space="preserve">PSY 2006F</t>
  </si>
  <si>
    <t xml:space="preserve">PSY 2009F</t>
  </si>
  <si>
    <t xml:space="preserve">PSY 200W</t>
  </si>
  <si>
    <t xml:space="preserve">PSY 201</t>
  </si>
  <si>
    <t xml:space="preserve">PSY 2010</t>
  </si>
  <si>
    <t xml:space="preserve">PSY 2010S</t>
  </si>
  <si>
    <t xml:space="preserve">PSY 2011</t>
  </si>
  <si>
    <t xml:space="preserve">PSY 2011F</t>
  </si>
  <si>
    <t xml:space="preserve">PSY 2015</t>
  </si>
  <si>
    <t xml:space="preserve">PSY 202</t>
  </si>
  <si>
    <t xml:space="preserve">PSY 2026</t>
  </si>
  <si>
    <t xml:space="preserve">PSY 203</t>
  </si>
  <si>
    <t xml:space="preserve">PSY 2031</t>
  </si>
  <si>
    <t xml:space="preserve">PSY 204</t>
  </si>
  <si>
    <t xml:space="preserve">PSY 2042</t>
  </si>
  <si>
    <t xml:space="preserve">PSY 2049</t>
  </si>
  <si>
    <t xml:space="preserve">PSY 2051</t>
  </si>
  <si>
    <t xml:space="preserve">PSY 206B</t>
  </si>
  <si>
    <t xml:space="preserve">PSY 207</t>
  </si>
  <si>
    <t xml:space="preserve">PSY 209</t>
  </si>
  <si>
    <t xml:space="preserve">PSY 211</t>
  </si>
  <si>
    <t xml:space="preserve">PSY 211-8</t>
  </si>
  <si>
    <t xml:space="preserve">PSY 2112</t>
  </si>
  <si>
    <t xml:space="preserve">PSY 212</t>
  </si>
  <si>
    <t xml:space="preserve">PSY 212-9</t>
  </si>
  <si>
    <t xml:space="preserve">PSY 215</t>
  </si>
  <si>
    <t xml:space="preserve">PSY 221</t>
  </si>
  <si>
    <t xml:space="preserve">PSY 222</t>
  </si>
  <si>
    <t xml:space="preserve">PSY 224</t>
  </si>
  <si>
    <t xml:space="preserve">PSY 229</t>
  </si>
  <si>
    <t xml:space="preserve">PSY 231</t>
  </si>
  <si>
    <t xml:space="preserve">PSY 232</t>
  </si>
  <si>
    <t xml:space="preserve">PSY 242</t>
  </si>
  <si>
    <t xml:space="preserve">PSY 2511</t>
  </si>
  <si>
    <t xml:space="preserve">PSY 2541</t>
  </si>
  <si>
    <t xml:space="preserve">PSY 2542</t>
  </si>
  <si>
    <t xml:space="preserve">PSY 260-1</t>
  </si>
  <si>
    <t xml:space="preserve">PSY 260-3</t>
  </si>
  <si>
    <t xml:space="preserve">PSY 2601</t>
  </si>
  <si>
    <t xml:space="preserve">PSY 2641</t>
  </si>
  <si>
    <t xml:space="preserve">PSY 2642</t>
  </si>
  <si>
    <t xml:space="preserve">PSY 291</t>
  </si>
  <si>
    <t xml:space="preserve">PSY 293</t>
  </si>
  <si>
    <t xml:space="preserve">PSY 294</t>
  </si>
  <si>
    <t xml:space="preserve">PSY 296</t>
  </si>
  <si>
    <t xml:space="preserve">PSY 2A</t>
  </si>
  <si>
    <t xml:space="preserve">PSY 2A11</t>
  </si>
  <si>
    <t xml:space="preserve">PSY 2AA2</t>
  </si>
  <si>
    <t xml:space="preserve">PSY 2B</t>
  </si>
  <si>
    <t xml:space="preserve">PSY 2C</t>
  </si>
  <si>
    <t xml:space="preserve">PSY 2C11</t>
  </si>
  <si>
    <t xml:space="preserve">PSY 2D</t>
  </si>
  <si>
    <t xml:space="preserve">PSY 2D21</t>
  </si>
  <si>
    <t xml:space="preserve">PSY 2DB2</t>
  </si>
  <si>
    <t xml:space="preserve">PSY 2F</t>
  </si>
  <si>
    <t xml:space="preserve">PSY 2F21</t>
  </si>
  <si>
    <t xml:space="preserve">PSY 2H</t>
  </si>
  <si>
    <t xml:space="preserve">PSY 2H21</t>
  </si>
  <si>
    <t xml:space="preserve">PSY 300</t>
  </si>
  <si>
    <t xml:space="preserve">PSY 300-8</t>
  </si>
  <si>
    <t xml:space="preserve">PSY 3005F</t>
  </si>
  <si>
    <t xml:space="preserve">PSY 3007</t>
  </si>
  <si>
    <t xml:space="preserve">PSY 3007S</t>
  </si>
  <si>
    <t xml:space="preserve">PSY 3008</t>
  </si>
  <si>
    <t xml:space="preserve">PSY 3008F</t>
  </si>
  <si>
    <t xml:space="preserve">PSY 3009</t>
  </si>
  <si>
    <t xml:space="preserve">PSY 3009F</t>
  </si>
  <si>
    <t xml:space="preserve">PSY 300W</t>
  </si>
  <si>
    <t xml:space="preserve">PSY 301</t>
  </si>
  <si>
    <t xml:space="preserve">PSY 3011</t>
  </si>
  <si>
    <t xml:space="preserve">PSY 3011S</t>
  </si>
  <si>
    <t xml:space="preserve">PSY 3019</t>
  </si>
  <si>
    <t xml:space="preserve">PSY 302</t>
  </si>
  <si>
    <t xml:space="preserve">PSY 302A</t>
  </si>
  <si>
    <t xml:space="preserve">PSY 303</t>
  </si>
  <si>
    <t xml:space="preserve">PSY 3032</t>
  </si>
  <si>
    <t xml:space="preserve">PSY 303B</t>
  </si>
  <si>
    <t xml:space="preserve">PSY 304</t>
  </si>
  <si>
    <t xml:space="preserve">PSY 3041</t>
  </si>
  <si>
    <t xml:space="preserve">PSY 304C</t>
  </si>
  <si>
    <t xml:space="preserve">PSY 305</t>
  </si>
  <si>
    <t xml:space="preserve">PSY 3051</t>
  </si>
  <si>
    <t xml:space="preserve">PSY 305D</t>
  </si>
  <si>
    <t xml:space="preserve">PSY 3062</t>
  </si>
  <si>
    <t xml:space="preserve">PSY 307</t>
  </si>
  <si>
    <t xml:space="preserve">PSY 311</t>
  </si>
  <si>
    <t xml:space="preserve">PSY 312</t>
  </si>
  <si>
    <t xml:space="preserve">PSY 313</t>
  </si>
  <si>
    <t xml:space="preserve">PSY 313-D</t>
  </si>
  <si>
    <t xml:space="preserve">PSY 314</t>
  </si>
  <si>
    <t xml:space="preserve">PSY 314-E</t>
  </si>
  <si>
    <t xml:space="preserve">PSY 315</t>
  </si>
  <si>
    <t xml:space="preserve">PSY 316</t>
  </si>
  <si>
    <t xml:space="preserve">PSY 320</t>
  </si>
  <si>
    <t xml:space="preserve">PSY 322</t>
  </si>
  <si>
    <t xml:space="preserve">PSY 323</t>
  </si>
  <si>
    <t xml:space="preserve">PSY 324</t>
  </si>
  <si>
    <t xml:space="preserve">PSY 332</t>
  </si>
  <si>
    <t xml:space="preserve">PSY 341</t>
  </si>
  <si>
    <t xml:space="preserve">PSY 342</t>
  </si>
  <si>
    <t xml:space="preserve">PSY 3541</t>
  </si>
  <si>
    <t xml:space="preserve">PSY 3542</t>
  </si>
  <si>
    <t xml:space="preserve">PSY 3611</t>
  </si>
  <si>
    <t xml:space="preserve">PSY 3641</t>
  </si>
  <si>
    <t xml:space="preserve">PSY 3642</t>
  </si>
  <si>
    <t xml:space="preserve">PSY 370-1</t>
  </si>
  <si>
    <t xml:space="preserve">PSY 370-2</t>
  </si>
  <si>
    <t xml:space="preserve">PSY 370-3</t>
  </si>
  <si>
    <t xml:space="preserve">PSY 370-4</t>
  </si>
  <si>
    <t xml:space="preserve">PSY 370-5</t>
  </si>
  <si>
    <t xml:space="preserve">PSY 3701</t>
  </si>
  <si>
    <t xml:space="preserve">PSY 3703</t>
  </si>
  <si>
    <t xml:space="preserve">PSY 3704</t>
  </si>
  <si>
    <t xml:space="preserve">PSY 3705</t>
  </si>
  <si>
    <t xml:space="preserve">PSY 3706</t>
  </si>
  <si>
    <t xml:space="preserve">PSY 371</t>
  </si>
  <si>
    <t xml:space="preserve">PSY 391</t>
  </si>
  <si>
    <t xml:space="preserve">PSY 392</t>
  </si>
  <si>
    <t xml:space="preserve">PSY 393</t>
  </si>
  <si>
    <t xml:space="preserve">PSY 395</t>
  </si>
  <si>
    <t xml:space="preserve">PSY 3A</t>
  </si>
  <si>
    <t xml:space="preserve">PSY 3A11</t>
  </si>
  <si>
    <t xml:space="preserve">PSY 3AA3</t>
  </si>
  <si>
    <t xml:space="preserve">PSY 3C</t>
  </si>
  <si>
    <t xml:space="preserve">PSY 3C11</t>
  </si>
  <si>
    <t xml:space="preserve">PSY 3D</t>
  </si>
  <si>
    <t xml:space="preserve">PSY 3D21</t>
  </si>
  <si>
    <t xml:space="preserve">PSY 3DB3</t>
  </si>
  <si>
    <t xml:space="preserve">PSY 3E</t>
  </si>
  <si>
    <t xml:space="preserve">PSY 3F</t>
  </si>
  <si>
    <t xml:space="preserve">PSY 3F21</t>
  </si>
  <si>
    <t xml:space="preserve">PSY 3G</t>
  </si>
  <si>
    <t xml:space="preserve">PSY 3G11</t>
  </si>
  <si>
    <t xml:space="preserve">PSY 5001</t>
  </si>
  <si>
    <t xml:space="preserve">PSY 5002</t>
  </si>
  <si>
    <t xml:space="preserve">PSY 5003</t>
  </si>
  <si>
    <t xml:space="preserve">PSY 5004</t>
  </si>
  <si>
    <t xml:space="preserve">PSY 5005</t>
  </si>
  <si>
    <t xml:space="preserve">PSY 5501</t>
  </si>
  <si>
    <t xml:space="preserve">PSY 5503</t>
  </si>
  <si>
    <t xml:space="preserve">PSY 5504</t>
  </si>
  <si>
    <t xml:space="preserve">PSY 5505</t>
  </si>
  <si>
    <t xml:space="preserve">PSY 5506</t>
  </si>
  <si>
    <t xml:space="preserve">PSY 6001</t>
  </si>
  <si>
    <t xml:space="preserve">PSY 6002</t>
  </si>
  <si>
    <t xml:space="preserve">PSY 6005</t>
  </si>
  <si>
    <t xml:space="preserve">PSY1541</t>
  </si>
  <si>
    <t xml:space="preserve">PSY1641</t>
  </si>
  <si>
    <t xml:space="preserve">PSY2511</t>
  </si>
  <si>
    <t xml:space="preserve">PSY2541</t>
  </si>
  <si>
    <t xml:space="preserve">PSY2542</t>
  </si>
  <si>
    <t xml:space="preserve">PSY2641</t>
  </si>
  <si>
    <t xml:space="preserve">PSY2642</t>
  </si>
  <si>
    <t xml:space="preserve">PSY2A11</t>
  </si>
  <si>
    <t xml:space="preserve">PSY2B21</t>
  </si>
  <si>
    <t xml:space="preserve">PSY2C11</t>
  </si>
  <si>
    <t xml:space="preserve">PSY2F21</t>
  </si>
  <si>
    <t xml:space="preserve">PSY3511</t>
  </si>
  <si>
    <t xml:space="preserve">PSY3542</t>
  </si>
  <si>
    <t xml:space="preserve">PSY3611</t>
  </si>
  <si>
    <t xml:space="preserve">PSY3641</t>
  </si>
  <si>
    <t xml:space="preserve">PSY3642</t>
  </si>
  <si>
    <t xml:space="preserve">PSY3A11</t>
  </si>
  <si>
    <t xml:space="preserve">PSY3D21</t>
  </si>
  <si>
    <t xml:space="preserve">PSY3F21</t>
  </si>
  <si>
    <t xml:space="preserve">PSY3G11</t>
  </si>
  <si>
    <t xml:space="preserve">PSYC 1</t>
  </si>
  <si>
    <t xml:space="preserve">PSYC 100</t>
  </si>
  <si>
    <t xml:space="preserve">PSYC 1001</t>
  </si>
  <si>
    <t xml:space="preserve">PSYC 1002</t>
  </si>
  <si>
    <t xml:space="preserve">PSYC 1009</t>
  </si>
  <si>
    <t xml:space="preserve">PSYC 101</t>
  </si>
  <si>
    <t xml:space="preserve">PSYC 1010</t>
  </si>
  <si>
    <t xml:space="preserve">PSYC 102</t>
  </si>
  <si>
    <t xml:space="preserve">PSYC 103</t>
  </si>
  <si>
    <t xml:space="preserve">PSYC 104</t>
  </si>
  <si>
    <t xml:space="preserve">PSYC 110</t>
  </si>
  <si>
    <t xml:space="preserve">PSYC 111</t>
  </si>
  <si>
    <t xml:space="preserve">PSYC 112</t>
  </si>
  <si>
    <t xml:space="preserve">PSYC 114</t>
  </si>
  <si>
    <t xml:space="preserve">PSYC 120</t>
  </si>
  <si>
    <t xml:space="preserve">PSYC 121</t>
  </si>
  <si>
    <t xml:space="preserve">PSYC 123</t>
  </si>
  <si>
    <t xml:space="preserve">PSYC 144</t>
  </si>
  <si>
    <t xml:space="preserve">PSYC 1501</t>
  </si>
  <si>
    <t xml:space="preserve">PSYC 1502</t>
  </si>
  <si>
    <t xml:space="preserve">PSYC 178</t>
  </si>
  <si>
    <t xml:space="preserve">PSYC 1A</t>
  </si>
  <si>
    <t xml:space="preserve">PSYC 1B</t>
  </si>
  <si>
    <t xml:space="preserve">PSYC 2</t>
  </si>
  <si>
    <t xml:space="preserve">PSYC 200</t>
  </si>
  <si>
    <t xml:space="preserve">PSYC 2001</t>
  </si>
  <si>
    <t xml:space="preserve">PSYC 2004</t>
  </si>
  <si>
    <t xml:space="preserve">PSYC 2005</t>
  </si>
  <si>
    <t xml:space="preserve">PSYC 2006</t>
  </si>
  <si>
    <t xml:space="preserve">PSYC 201</t>
  </si>
  <si>
    <t xml:space="preserve">PSYC 2012</t>
  </si>
  <si>
    <t xml:space="preserve">PSYC 202</t>
  </si>
  <si>
    <t xml:space="preserve">PSYC 2020</t>
  </si>
  <si>
    <t xml:space="preserve">PSYC 2021</t>
  </si>
  <si>
    <t xml:space="preserve">PSYC 203</t>
  </si>
  <si>
    <t xml:space="preserve">PSYC 204</t>
  </si>
  <si>
    <t xml:space="preserve">PSYC 204P2</t>
  </si>
  <si>
    <t xml:space="preserve">PSYC 205</t>
  </si>
  <si>
    <t xml:space="preserve">PSYC 207</t>
  </si>
  <si>
    <t xml:space="preserve">PSYC 208</t>
  </si>
  <si>
    <t xml:space="preserve">PSYC 209</t>
  </si>
  <si>
    <t xml:space="preserve">PSYC 210</t>
  </si>
  <si>
    <t xml:space="preserve">PSYC 211</t>
  </si>
  <si>
    <t xml:space="preserve">PSYC 212</t>
  </si>
  <si>
    <t xml:space="preserve">PSYC 213</t>
  </si>
  <si>
    <t xml:space="preserve">PSYC 214</t>
  </si>
  <si>
    <t xml:space="preserve">PSYC 215</t>
  </si>
  <si>
    <t xml:space="preserve">PSYC 218</t>
  </si>
  <si>
    <t xml:space="preserve">PSYC 219</t>
  </si>
  <si>
    <t xml:space="preserve">PSYC 220</t>
  </si>
  <si>
    <t xml:space="preserve">PSYC 221</t>
  </si>
  <si>
    <t xml:space="preserve">PSYC 222</t>
  </si>
  <si>
    <t xml:space="preserve">PSYC 223</t>
  </si>
  <si>
    <t xml:space="preserve">PSYC 2250</t>
  </si>
  <si>
    <t xml:space="preserve">PSYC 231</t>
  </si>
  <si>
    <t xml:space="preserve">PSYC 242</t>
  </si>
  <si>
    <t xml:space="preserve">PSYC 243</t>
  </si>
  <si>
    <t xml:space="preserve">PSYC 244</t>
  </si>
  <si>
    <t xml:space="preserve">PSYC 252</t>
  </si>
  <si>
    <t xml:space="preserve">PSYC 253</t>
  </si>
  <si>
    <t xml:space="preserve">PSYC 2601</t>
  </si>
  <si>
    <t xml:space="preserve">PSYC 2602</t>
  </si>
  <si>
    <t xml:space="preserve">PSYC 2A</t>
  </si>
  <si>
    <t xml:space="preserve">PSYC 2B</t>
  </si>
  <si>
    <t xml:space="preserve">PSYC 2C</t>
  </si>
  <si>
    <t xml:space="preserve">PSYC 2D</t>
  </si>
  <si>
    <t xml:space="preserve">PSYC 2F</t>
  </si>
  <si>
    <t xml:space="preserve">PSYC 2H</t>
  </si>
  <si>
    <t xml:space="preserve">PSYC 3</t>
  </si>
  <si>
    <t xml:space="preserve">PSYC 300</t>
  </si>
  <si>
    <t xml:space="preserve">PSYC 3001</t>
  </si>
  <si>
    <t xml:space="preserve">PSYC 3002</t>
  </si>
  <si>
    <t xml:space="preserve">PSYC 3007</t>
  </si>
  <si>
    <t xml:space="preserve">PSYC 301</t>
  </si>
  <si>
    <t xml:space="preserve">PSYC 3013</t>
  </si>
  <si>
    <t xml:space="preserve">PSYC 3015</t>
  </si>
  <si>
    <t xml:space="preserve">PSYC 3016</t>
  </si>
  <si>
    <t xml:space="preserve">PSYC 3017</t>
  </si>
  <si>
    <t xml:space="preserve">PSYC 3018</t>
  </si>
  <si>
    <t xml:space="preserve">PSYC 3019</t>
  </si>
  <si>
    <t xml:space="preserve">PSYC 302</t>
  </si>
  <si>
    <t xml:space="preserve">PSYC 3021</t>
  </si>
  <si>
    <t xml:space="preserve">PSYC 3023</t>
  </si>
  <si>
    <t xml:space="preserve">PSYC 3024</t>
  </si>
  <si>
    <t xml:space="preserve">PSYC 3025</t>
  </si>
  <si>
    <t xml:space="preserve">PSYC 3028</t>
  </si>
  <si>
    <t xml:space="preserve">PSYC 303</t>
  </si>
  <si>
    <t xml:space="preserve">PSYC 3030</t>
  </si>
  <si>
    <t xml:space="preserve">PSYC 3031</t>
  </si>
  <si>
    <t xml:space="preserve">PSYC 3034</t>
  </si>
  <si>
    <t xml:space="preserve">PSYC 304</t>
  </si>
  <si>
    <t xml:space="preserve">PSYC 304P2</t>
  </si>
  <si>
    <t xml:space="preserve">PSYC 307</t>
  </si>
  <si>
    <t xml:space="preserve">PSYC 310</t>
  </si>
  <si>
    <t xml:space="preserve">PSYC 3103</t>
  </si>
  <si>
    <t xml:space="preserve">PSYC 311</t>
  </si>
  <si>
    <t xml:space="preserve">PSYC 312</t>
  </si>
  <si>
    <t xml:space="preserve">PSYC 314</t>
  </si>
  <si>
    <t xml:space="preserve">PSYC 318</t>
  </si>
  <si>
    <t xml:space="preserve">PSYC 319</t>
  </si>
  <si>
    <t xml:space="preserve">PSYC 320</t>
  </si>
  <si>
    <t xml:space="preserve">PSYC 321</t>
  </si>
  <si>
    <t xml:space="preserve">PSYC 322</t>
  </si>
  <si>
    <t xml:space="preserve">PSYC 324</t>
  </si>
  <si>
    <t xml:space="preserve">PSYC 326</t>
  </si>
  <si>
    <t xml:space="preserve">PSYC 328</t>
  </si>
  <si>
    <t xml:space="preserve">PSYC 331</t>
  </si>
  <si>
    <t xml:space="preserve">PSYC 341</t>
  </si>
  <si>
    <t xml:space="preserve">PSYC 342</t>
  </si>
  <si>
    <t xml:space="preserve">PSYC 343</t>
  </si>
  <si>
    <t xml:space="preserve">PSYC 344</t>
  </si>
  <si>
    <t xml:space="preserve">PSYC 345</t>
  </si>
  <si>
    <t xml:space="preserve">PSYC 345P1</t>
  </si>
  <si>
    <t xml:space="preserve">PSYC 348</t>
  </si>
  <si>
    <t xml:space="preserve">PSYC 358</t>
  </si>
  <si>
    <t xml:space="preserve">PSYC 3701</t>
  </si>
  <si>
    <t xml:space="preserve">PSYC 3702</t>
  </si>
  <si>
    <t xml:space="preserve">PSYC 3703</t>
  </si>
  <si>
    <t xml:space="preserve">PSYC 3704</t>
  </si>
  <si>
    <t xml:space="preserve">PSYC 3705</t>
  </si>
  <si>
    <t xml:space="preserve">PSYC 3A</t>
  </si>
  <si>
    <t xml:space="preserve">PSYC 3B</t>
  </si>
  <si>
    <t xml:space="preserve">PSYC 3C</t>
  </si>
  <si>
    <t xml:space="preserve">PSYC 3D</t>
  </si>
  <si>
    <t xml:space="preserve">PSYC 3E</t>
  </si>
  <si>
    <t xml:space="preserve">PSYC 3F</t>
  </si>
  <si>
    <t xml:space="preserve">PSYC 3G</t>
  </si>
  <si>
    <t xml:space="preserve">PSYC1009</t>
  </si>
  <si>
    <t xml:space="preserve">PSYC101H1</t>
  </si>
  <si>
    <t xml:space="preserve">PSYC102H2</t>
  </si>
  <si>
    <t xml:space="preserve">PSYC1A</t>
  </si>
  <si>
    <t xml:space="preserve">PSYC2005</t>
  </si>
  <si>
    <t xml:space="preserve">PSYC2006</t>
  </si>
  <si>
    <t xml:space="preserve">PSYC201H1</t>
  </si>
  <si>
    <t xml:space="preserve">PSYC2020</t>
  </si>
  <si>
    <t xml:space="preserve">PSYC202H2</t>
  </si>
  <si>
    <t xml:space="preserve">PSYC203H2</t>
  </si>
  <si>
    <t xml:space="preserve">PSYC207H1</t>
  </si>
  <si>
    <t xml:space="preserve">PSYC208H2</t>
  </si>
  <si>
    <t xml:space="preserve">PSYC222P2</t>
  </si>
  <si>
    <t xml:space="preserve">PSYC223P1</t>
  </si>
  <si>
    <t xml:space="preserve">PSYC3001</t>
  </si>
  <si>
    <t xml:space="preserve">PSYC3016</t>
  </si>
  <si>
    <t xml:space="preserve">PSYC3017</t>
  </si>
  <si>
    <t xml:space="preserve">PSYC301H2</t>
  </si>
  <si>
    <t xml:space="preserve">PSYC301P2</t>
  </si>
  <si>
    <t xml:space="preserve">PSYC3022</t>
  </si>
  <si>
    <t xml:space="preserve">PSYC3023</t>
  </si>
  <si>
    <t xml:space="preserve">PSYC3034</t>
  </si>
  <si>
    <t xml:space="preserve">PSYC318P1</t>
  </si>
  <si>
    <t xml:space="preserve">PSYC319H1</t>
  </si>
  <si>
    <t xml:space="preserve">PSYC320H2</t>
  </si>
  <si>
    <t xml:space="preserve">PSYC321H2</t>
  </si>
  <si>
    <t xml:space="preserve">PSYC322H2</t>
  </si>
  <si>
    <t xml:space="preserve">PSYC324H1</t>
  </si>
  <si>
    <t xml:space="preserve">PSYC326H1</t>
  </si>
  <si>
    <t xml:space="preserve">PSYC341H1</t>
  </si>
  <si>
    <t xml:space="preserve">PSYC343H2</t>
  </si>
  <si>
    <t xml:space="preserve">PSYL 300</t>
  </si>
  <si>
    <t xml:space="preserve">PSYV 101</t>
  </si>
  <si>
    <t xml:space="preserve">PTV 312</t>
  </si>
  <si>
    <t xml:space="preserve">PYC 100</t>
  </si>
  <si>
    <t xml:space="preserve">PYC 101</t>
  </si>
  <si>
    <t xml:space="preserve">PYC 101-Y</t>
  </si>
  <si>
    <t xml:space="preserve">PYC 101Y</t>
  </si>
  <si>
    <t xml:space="preserve">PYC 102</t>
  </si>
  <si>
    <t xml:space="preserve">PYC 102-3</t>
  </si>
  <si>
    <t xml:space="preserve">PYC 102-Y</t>
  </si>
  <si>
    <t xml:space="preserve">PYC 1023</t>
  </si>
  <si>
    <t xml:space="preserve">PYC 12023</t>
  </si>
  <si>
    <t xml:space="preserve">PYC 150-1</t>
  </si>
  <si>
    <t xml:space="preserve">PYC 150-2</t>
  </si>
  <si>
    <t xml:space="preserve">PYC 1501</t>
  </si>
  <si>
    <t xml:space="preserve">PYC 1502</t>
  </si>
  <si>
    <t xml:space="preserve">PYC 1O2-3</t>
  </si>
  <si>
    <t xml:space="preserve">PYC 200</t>
  </si>
  <si>
    <t xml:space="preserve">PYC 201</t>
  </si>
  <si>
    <t xml:space="preserve">PYC 201-5</t>
  </si>
  <si>
    <t xml:space="preserve">PYC 2015</t>
  </si>
  <si>
    <t xml:space="preserve">PYC 202</t>
  </si>
  <si>
    <t xml:space="preserve">PYC 202-6</t>
  </si>
  <si>
    <t xml:space="preserve">PYC 2026</t>
  </si>
  <si>
    <t xml:space="preserve">PYC 203</t>
  </si>
  <si>
    <t xml:space="preserve">PYC 203-8</t>
  </si>
  <si>
    <t xml:space="preserve">PYC 2038</t>
  </si>
  <si>
    <t xml:space="preserve">PYC 204</t>
  </si>
  <si>
    <t xml:space="preserve">PYC 204-9</t>
  </si>
  <si>
    <t xml:space="preserve">PYC 2049</t>
  </si>
  <si>
    <t xml:space="preserve">PYC 205</t>
  </si>
  <si>
    <t xml:space="preserve">PYC 205-A</t>
  </si>
  <si>
    <t xml:space="preserve">PYC 205A</t>
  </si>
  <si>
    <t xml:space="preserve">PYC 206</t>
  </si>
  <si>
    <t xml:space="preserve">PYC 206-B</t>
  </si>
  <si>
    <t xml:space="preserve">PYC 2068</t>
  </si>
  <si>
    <t xml:space="preserve">PYC 206B</t>
  </si>
  <si>
    <t xml:space="preserve">PYC 207</t>
  </si>
  <si>
    <t xml:space="preserve">PYC 207-C</t>
  </si>
  <si>
    <t xml:space="preserve">PYC 207C</t>
  </si>
  <si>
    <t xml:space="preserve">PYC 211</t>
  </si>
  <si>
    <t xml:space="preserve">PYC 212</t>
  </si>
  <si>
    <t xml:space="preserve">PYC 260</t>
  </si>
  <si>
    <t xml:space="preserve">PYC 260-1</t>
  </si>
  <si>
    <t xml:space="preserve">PYC 260-2</t>
  </si>
  <si>
    <t xml:space="preserve">PYC 260-3</t>
  </si>
  <si>
    <t xml:space="preserve">PYC 260-4</t>
  </si>
  <si>
    <t xml:space="preserve">PYC 260-5</t>
  </si>
  <si>
    <t xml:space="preserve">PYC 260-6</t>
  </si>
  <si>
    <t xml:space="preserve">PYC 2601</t>
  </si>
  <si>
    <t xml:space="preserve">PYC 2602</t>
  </si>
  <si>
    <t xml:space="preserve">PYC 2603</t>
  </si>
  <si>
    <t xml:space="preserve">PYC 2604</t>
  </si>
  <si>
    <t xml:space="preserve">PYC 2605</t>
  </si>
  <si>
    <t xml:space="preserve">PYC 2606</t>
  </si>
  <si>
    <t xml:space="preserve">PYC 300</t>
  </si>
  <si>
    <t xml:space="preserve">PYC 301</t>
  </si>
  <si>
    <t xml:space="preserve">PYC 301-9</t>
  </si>
  <si>
    <t xml:space="preserve">PYC 301-A</t>
  </si>
  <si>
    <t xml:space="preserve">PYC 3019</t>
  </si>
  <si>
    <t xml:space="preserve">PYC 302</t>
  </si>
  <si>
    <t xml:space="preserve">PYC 302-A</t>
  </si>
  <si>
    <t xml:space="preserve">PYC 302A</t>
  </si>
  <si>
    <t xml:space="preserve">PYC 303</t>
  </si>
  <si>
    <t xml:space="preserve">PYC 303-B</t>
  </si>
  <si>
    <t xml:space="preserve">PYC 3038</t>
  </si>
  <si>
    <t xml:space="preserve">PYC 303B</t>
  </si>
  <si>
    <t xml:space="preserve">PYC 304</t>
  </si>
  <si>
    <t xml:space="preserve">PYC 304-C</t>
  </si>
  <si>
    <t xml:space="preserve">PYC 304C</t>
  </si>
  <si>
    <t xml:space="preserve">PYC 305</t>
  </si>
  <si>
    <t xml:space="preserve">PYC 305-D</t>
  </si>
  <si>
    <t xml:space="preserve">PYC 3050</t>
  </si>
  <si>
    <t xml:space="preserve">PYC 305D</t>
  </si>
  <si>
    <t xml:space="preserve">PYC 306</t>
  </si>
  <si>
    <t xml:space="preserve">PYC 306-E</t>
  </si>
  <si>
    <t xml:space="preserve">PYC 306E</t>
  </si>
  <si>
    <t xml:space="preserve">PYC 311</t>
  </si>
  <si>
    <t xml:space="preserve">PYC 313</t>
  </si>
  <si>
    <t xml:space="preserve">PYC 314</t>
  </si>
  <si>
    <t xml:space="preserve">PYC 370-1</t>
  </si>
  <si>
    <t xml:space="preserve">PYC 370-2</t>
  </si>
  <si>
    <t xml:space="preserve">PYC 370-3</t>
  </si>
  <si>
    <t xml:space="preserve">PYC 370-4</t>
  </si>
  <si>
    <t xml:space="preserve">PYC 370-5</t>
  </si>
  <si>
    <t xml:space="preserve">PYC 370-6</t>
  </si>
  <si>
    <t xml:space="preserve">PYC 3701</t>
  </si>
  <si>
    <t xml:space="preserve">PYC 3702</t>
  </si>
  <si>
    <t xml:space="preserve">PYC 3703</t>
  </si>
  <si>
    <t xml:space="preserve">PYC 3704</t>
  </si>
  <si>
    <t xml:space="preserve">PYC 3705</t>
  </si>
  <si>
    <t xml:space="preserve">PYC 3706</t>
  </si>
  <si>
    <t xml:space="preserve">PYC 3716</t>
  </si>
  <si>
    <t xml:space="preserve">PYC101Y</t>
  </si>
  <si>
    <t xml:space="preserve">PYC1023</t>
  </si>
  <si>
    <t xml:space="preserve">PYC150-1</t>
  </si>
  <si>
    <t xml:space="preserve">PYC150-2</t>
  </si>
  <si>
    <t xml:space="preserve">PYC2015</t>
  </si>
  <si>
    <t xml:space="preserve">PYC2026</t>
  </si>
  <si>
    <t xml:space="preserve">PYC203-8</t>
  </si>
  <si>
    <t xml:space="preserve">PYC2038</t>
  </si>
  <si>
    <t xml:space="preserve">PYC204-9</t>
  </si>
  <si>
    <t xml:space="preserve">PYC2049</t>
  </si>
  <si>
    <t xml:space="preserve">PYC205A</t>
  </si>
  <si>
    <t xml:space="preserve">PYC206B</t>
  </si>
  <si>
    <t xml:space="preserve">PYC207C</t>
  </si>
  <si>
    <t xml:space="preserve">PYC260-1</t>
  </si>
  <si>
    <t xml:space="preserve">PYC260-2</t>
  </si>
  <si>
    <t xml:space="preserve">PYC260-3</t>
  </si>
  <si>
    <t xml:space="preserve">PYC260-4</t>
  </si>
  <si>
    <t xml:space="preserve">PYC260-5</t>
  </si>
  <si>
    <t xml:space="preserve">PYC260-6</t>
  </si>
  <si>
    <t xml:space="preserve">PYC301-9</t>
  </si>
  <si>
    <t xml:space="preserve">PYC3019</t>
  </si>
  <si>
    <t xml:space="preserve">PYC302-A</t>
  </si>
  <si>
    <t xml:space="preserve">PYC302A</t>
  </si>
  <si>
    <t xml:space="preserve">PYC303B</t>
  </si>
  <si>
    <t xml:space="preserve">PYC304C</t>
  </si>
  <si>
    <t xml:space="preserve">PYC305-D</t>
  </si>
  <si>
    <t xml:space="preserve">PYC305D</t>
  </si>
  <si>
    <t xml:space="preserve">PYC306E</t>
  </si>
  <si>
    <t xml:space="preserve">PYC370-3</t>
  </si>
  <si>
    <t xml:space="preserve">PYC370-4</t>
  </si>
  <si>
    <t xml:space="preserve">PYC3701</t>
  </si>
  <si>
    <t xml:space="preserve">PYC3702</t>
  </si>
  <si>
    <t xml:space="preserve">PYC3703</t>
  </si>
  <si>
    <t xml:space="preserve">PYC3704</t>
  </si>
  <si>
    <t xml:space="preserve">PYC3705</t>
  </si>
  <si>
    <t xml:space="preserve">PYC3706</t>
  </si>
  <si>
    <t xml:space="preserve">PYS 204-9</t>
  </si>
  <si>
    <t xml:space="preserve">PYSC 3</t>
  </si>
  <si>
    <t xml:space="preserve">PYV 370-5</t>
  </si>
  <si>
    <t xml:space="preserve">PYV 3703</t>
  </si>
  <si>
    <t xml:space="preserve">SIL 108</t>
  </si>
  <si>
    <t xml:space="preserve">SIL 110</t>
  </si>
  <si>
    <t xml:space="preserve">SIL 1A</t>
  </si>
  <si>
    <t xml:space="preserve">SIL 1B</t>
  </si>
  <si>
    <t xml:space="preserve">SIL 2A</t>
  </si>
  <si>
    <t xml:space="preserve">SIL 2B</t>
  </si>
  <si>
    <t xml:space="preserve">SIL 3A</t>
  </si>
  <si>
    <t xml:space="preserve">SIL 3B</t>
  </si>
  <si>
    <t xml:space="preserve">SIL 3C</t>
  </si>
  <si>
    <t xml:space="preserve">SIL 3D</t>
  </si>
  <si>
    <t xml:space="preserve">SIL1A11</t>
  </si>
  <si>
    <t xml:space="preserve">SIL1B21</t>
  </si>
  <si>
    <t xml:space="preserve">SIL2A11</t>
  </si>
  <si>
    <t xml:space="preserve">SIL2B21</t>
  </si>
  <si>
    <t xml:space="preserve">SLK 102</t>
  </si>
  <si>
    <t xml:space="preserve">SLK 110</t>
  </si>
  <si>
    <t xml:space="preserve">SLK 120</t>
  </si>
  <si>
    <t xml:space="preserve">SLK 151</t>
  </si>
  <si>
    <t xml:space="preserve">SLK 152</t>
  </si>
  <si>
    <t xml:space="preserve">SLK 154</t>
  </si>
  <si>
    <t xml:space="preserve">SLK 155</t>
  </si>
  <si>
    <t xml:space="preserve">SLK 156</t>
  </si>
  <si>
    <t xml:space="preserve">SLK 157</t>
  </si>
  <si>
    <t xml:space="preserve">SLK 1A</t>
  </si>
  <si>
    <t xml:space="preserve">SLK 1B</t>
  </si>
  <si>
    <t xml:space="preserve">SLK 201</t>
  </si>
  <si>
    <t xml:space="preserve">SLK 202</t>
  </si>
  <si>
    <t xml:space="preserve">SLK 210</t>
  </si>
  <si>
    <t xml:space="preserve">SLK 220</t>
  </si>
  <si>
    <t xml:space="preserve">SLK 2355</t>
  </si>
  <si>
    <t xml:space="preserve">SLK 251</t>
  </si>
  <si>
    <t xml:space="preserve">SLK 252</t>
  </si>
  <si>
    <t xml:space="preserve">SLK 253</t>
  </si>
  <si>
    <t xml:space="preserve">SLK 254</t>
  </si>
  <si>
    <t xml:space="preserve">SLK 256</t>
  </si>
  <si>
    <t xml:space="preserve">SLK 2A</t>
  </si>
  <si>
    <t xml:space="preserve">SLK 2B</t>
  </si>
  <si>
    <t xml:space="preserve">SLK 2C</t>
  </si>
  <si>
    <t xml:space="preserve">SLK 300</t>
  </si>
  <si>
    <t xml:space="preserve">SLK 310</t>
  </si>
  <si>
    <t xml:space="preserve">SLK 320</t>
  </si>
  <si>
    <t xml:space="preserve">SLK 321</t>
  </si>
  <si>
    <t xml:space="preserve">SLK 351</t>
  </si>
  <si>
    <t xml:space="preserve">SLK 352</t>
  </si>
  <si>
    <t xml:space="preserve">SLK 353</t>
  </si>
  <si>
    <t xml:space="preserve">SLK 355</t>
  </si>
  <si>
    <t xml:space="preserve">SLK 356</t>
  </si>
  <si>
    <t xml:space="preserve">SLK 362</t>
  </si>
  <si>
    <t xml:space="preserve">SLK 3A</t>
  </si>
  <si>
    <t xml:space="preserve">SLK 3D</t>
  </si>
  <si>
    <t xml:space="preserve">SLK 3F</t>
  </si>
  <si>
    <t xml:space="preserve">SLK 3G</t>
  </si>
  <si>
    <t xml:space="preserve">SLK220</t>
  </si>
  <si>
    <t xml:space="preserve">SP 101</t>
  </si>
  <si>
    <t xml:space="preserve">SP 102</t>
  </si>
  <si>
    <t xml:space="preserve">SP 103</t>
  </si>
  <si>
    <t xml:space="preserve">SP 107</t>
  </si>
  <si>
    <t xml:space="preserve">SP 109</t>
  </si>
  <si>
    <t xml:space="preserve">SP 114</t>
  </si>
  <si>
    <t xml:space="preserve">SP 201</t>
  </si>
  <si>
    <t xml:space="preserve">SP 202</t>
  </si>
  <si>
    <t xml:space="preserve">SP 203</t>
  </si>
  <si>
    <t xml:space="preserve">SP 204</t>
  </si>
  <si>
    <t xml:space="preserve">SP 301</t>
  </si>
  <si>
    <t xml:space="preserve">SP 302</t>
  </si>
  <si>
    <t xml:space="preserve">SP 303</t>
  </si>
  <si>
    <t xml:space="preserve">SP 304</t>
  </si>
  <si>
    <t xml:space="preserve">SP 310</t>
  </si>
  <si>
    <t xml:space="preserve">SP 314</t>
  </si>
  <si>
    <t xml:space="preserve">SP 317</t>
  </si>
  <si>
    <t xml:space="preserve">SPORT  PSY 2</t>
  </si>
  <si>
    <t xml:space="preserve">SPORT PSY3A</t>
  </si>
  <si>
    <t xml:space="preserve">SPORT PSY3B</t>
  </si>
  <si>
    <t xml:space="preserve">Sport Psyc 1</t>
  </si>
  <si>
    <t xml:space="preserve">Sport Psyc 3A</t>
  </si>
  <si>
    <t xml:space="preserve">Sport Psyc 3B</t>
  </si>
  <si>
    <t xml:space="preserve">SPP 03A3</t>
  </si>
  <si>
    <t xml:space="preserve">SPS 03B3</t>
  </si>
  <si>
    <t xml:space="preserve">SPS 2B21</t>
  </si>
  <si>
    <t xml:space="preserve">SPS 2BB2</t>
  </si>
  <si>
    <t xml:space="preserve">SPS 3AA3</t>
  </si>
  <si>
    <t xml:space="preserve">SPS 3BB3</t>
  </si>
  <si>
    <t xml:space="preserve">SSAB 311</t>
  </si>
  <si>
    <t xml:space="preserve">SSAB 321</t>
  </si>
  <si>
    <t xml:space="preserve">SSAE 311</t>
  </si>
  <si>
    <t xml:space="preserve">SSCP 211</t>
  </si>
  <si>
    <t xml:space="preserve">SSDP 211</t>
  </si>
  <si>
    <t xml:space="preserve">SSDP 221</t>
  </si>
  <si>
    <t xml:space="preserve">SSGP 111</t>
  </si>
  <si>
    <t xml:space="preserve">SSGP 121</t>
  </si>
  <si>
    <t xml:space="preserve">SSHC 321</t>
  </si>
  <si>
    <t xml:space="preserve">SSIT 311</t>
  </si>
  <si>
    <t xml:space="preserve">SSNP 311</t>
  </si>
  <si>
    <t xml:space="preserve">SSPT 211</t>
  </si>
  <si>
    <t xml:space="preserve">SSPT 221</t>
  </si>
  <si>
    <t xml:space="preserve">SSRS 321</t>
  </si>
  <si>
    <t xml:space="preserve">SSSP 311</t>
  </si>
  <si>
    <t xml:space="preserve">Name</t>
  </si>
  <si>
    <t xml:space="preserve">K</t>
  </si>
  <si>
    <t xml:space="preserve">V</t>
  </si>
  <si>
    <t xml:space="preserve">K/V</t>
  </si>
  <si>
    <t xml:space="preserve">PUK Hons Last Year</t>
  </si>
  <si>
    <t xml:space="preserve">PUK Hons Before Last Year</t>
  </si>
  <si>
    <t xml:space="preserve">External Hons Last Year</t>
  </si>
  <si>
    <t xml:space="preserve">External Hons Before Last Year</t>
  </si>
  <si>
    <t xml:space="preserve">DEPT Form</t>
  </si>
  <si>
    <t xml:space="preserve">PreGrad</t>
  </si>
  <si>
    <t xml:space="preserve">PostGrad</t>
  </si>
  <si>
    <t xml:space="preserve">SelfReflection</t>
  </si>
  <si>
    <t xml:space="preserve">Employer</t>
  </si>
  <si>
    <t xml:space="preserve">Payment</t>
  </si>
  <si>
    <t xml:space="preserve">Designation</t>
  </si>
  <si>
    <t xml:space="preserve">Section A</t>
  </si>
  <si>
    <t xml:space="preserve">Final Rank</t>
  </si>
  <si>
    <t xml:space="preserve">Paper Selection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</si>
</sst>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"/>
    <numFmt numFmtId="166" formatCode="General"/>
  </numFmts>
  <fonts count="10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6"/>
      <color rgb="FF000000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i val="true"/>
      <sz val="11"/>
      <color rgb="FF000000"/>
      <name val="Calibri"/>
      <family val="2"/>
      <charset val="1"/>
    </font>
    <font>
      <sz val="11"/>
      <color rgb="FF000000"/>
      <name val="Calibri"/>
      <family val="0"/>
      <charset val="1"/>
    </font>
    <font>
      <sz val="10"/>
      <color rgb="FF000000"/>
      <name val="Arial"/>
      <family val="2"/>
      <charset val="1"/>
    </font>
    <font>
      <b val="true"/>
      <sz val="18"/>
      <color rgb="FF000000"/>
      <name val="Calibri"/>
      <family val="2"/>
      <charset val="1"/>
    </font>
  </fonts>
  <fills count="6">
    <fill>
      <patternFill patternType="none"/>
    </fill>
    <fill>
      <patternFill patternType="gray125"/>
    </fill>
    <fill>
      <patternFill patternType="solid">
        <fgColor rgb="FFD9D9D9"/>
        <bgColor rgb="FFCCFFCC"/>
      </patternFill>
    </fill>
    <fill>
      <patternFill patternType="solid">
        <fgColor rgb="FFADB9CA"/>
        <bgColor rgb="FFA9D18E"/>
      </patternFill>
    </fill>
    <fill>
      <patternFill patternType="solid">
        <fgColor rgb="FF000000"/>
        <bgColor rgb="FF003300"/>
      </patternFill>
    </fill>
    <fill>
      <patternFill patternType="solid">
        <fgColor rgb="FFA9D18E"/>
        <bgColor rgb="FFADB9CA"/>
      </patternFill>
    </fill>
  </fills>
  <borders count="24">
    <border diagonalUp="false" diagonalDown="false">
      <left/>
      <right/>
      <top/>
      <bottom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/>
      <right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 style="medium"/>
      <top style="thin"/>
      <bottom style="thin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/>
      <right/>
      <top style="thin"/>
      <bottom style="medium"/>
      <diagonal/>
    </border>
    <border diagonalUp="false" diagonalDown="false">
      <left/>
      <right style="medium"/>
      <top style="thin"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/>
      <top/>
      <bottom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thin"/>
      <right/>
      <top style="thin"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4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5" fillId="0" borderId="1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2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2" borderId="3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5" fillId="0" borderId="4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2" borderId="6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5" fillId="3" borderId="7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5" fillId="3" borderId="8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5" fillId="3" borderId="9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5" fillId="0" borderId="10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11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2" borderId="12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5" fillId="0" borderId="13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14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5" fillId="0" borderId="14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15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16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5" fillId="0" borderId="1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2" borderId="18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5" fillId="0" borderId="17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5" fontId="0" fillId="2" borderId="6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19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5" fillId="0" borderId="1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2" borderId="6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5" fillId="0" borderId="0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20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21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22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17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23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2" borderId="1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fals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0" fillId="4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9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1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1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0" fillId="3" borderId="2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2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2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2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2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ADB9CA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A9D18E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Button 5" descr="Add Subjec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Add Subject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Button 6" descr="New Studen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New Student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export" descr="Export Studen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Export Student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undo_mark" descr="Undo Subjec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Undo Subject</a:t>
              </a:r>
            </a:p>
          </xdr:txBody>
        </xdr:sp>
        <xdr:clientData/>
      </xdr:twoCellAnchor>
    </mc:Choice>
  </mc:AlternateContent>
</xdr:wsDr>
</file>

<file path=xl/tables/table1.xml><?xml version="1.0" encoding="utf-8"?>
<table xmlns="http://schemas.openxmlformats.org/spreadsheetml/2006/main" id="1" name="academicExp" displayName="academicExp" ref="H1:I3" headerRowCount="1" totalsRowCount="0" totalsRowShown="0">
  <autoFilter ref="H1:I3"/>
  <tableColumns count="2">
    <tableColumn id="1" name="Academic Experience"/>
    <tableColumn id="2" name="Weight"/>
  </tableColumns>
</table>
</file>

<file path=xl/tables/table2.xml><?xml version="1.0" encoding="utf-8"?>
<table xmlns="http://schemas.openxmlformats.org/spreadsheetml/2006/main" id="2" name="fieldChoice" displayName="fieldChoice" ref="K1:K4" headerRowCount="1" totalsRowCount="0" totalsRowShown="0">
  <autoFilter ref="K1:K4"/>
  <tableColumns count="1">
    <tableColumn id="1" name="Field Choice"/>
  </tableColumns>
</table>
</file>

<file path=xl/tables/table3.xml><?xml version="1.0" encoding="utf-8"?>
<table xmlns="http://schemas.openxmlformats.org/spreadsheetml/2006/main" id="3" name="studentList" displayName="studentList" ref="A1:U3" headerRowCount="1" totalsRowCount="0" totalsRowShown="0">
  <autoFilter ref="A1:U3"/>
  <tableColumns count="21">
    <tableColumn id="1" name="Name"/>
    <tableColumn id="2" name="K"/>
    <tableColumn id="3" name="V"/>
    <tableColumn id="4" name="K/V"/>
    <tableColumn id="5" name="PUK Hons Last Year"/>
    <tableColumn id="6" name="PUK Hons Before Last Year"/>
    <tableColumn id="7" name="External Hons Last Year"/>
    <tableColumn id="8" name="External Hons Before Last Year"/>
    <tableColumn id="9" name="DEPT Form"/>
    <tableColumn id="10" name="PreGrad"/>
    <tableColumn id="11" name="PostGrad"/>
    <tableColumn id="12" name="SelfReflection"/>
    <tableColumn id="13" name="Employer"/>
    <tableColumn id="14" name="Payment"/>
    <tableColumn id="15" name="Designation"/>
    <tableColumn id="16" name="Section A"/>
    <tableColumn id="17" name="Section B"/>
    <tableColumn id="18" name="X"/>
    <tableColumn id="19" name="Y"/>
    <tableColumn id="20" name="Final Rank"/>
    <tableColumn id="21" name="Paper Selection"/>
  </tableColumns>
</table>
</file>

<file path=xl/tables/table4.xml><?xml version="1.0" encoding="utf-8"?>
<table xmlns="http://schemas.openxmlformats.org/spreadsheetml/2006/main" id="4" name="SubList" displayName="SubList" ref="A1:A713" headerRowCount="1" totalsRowCount="0" totalsRowShown="0">
  <autoFilter ref="A1:A713"/>
  <tableColumns count="1">
    <tableColumn id="1" name="Subject"/>
  </tableColumns>
</table>
</file>

<file path=xl/tables/table5.xml><?xml version="1.0" encoding="utf-8"?>
<table xmlns="http://schemas.openxmlformats.org/spreadsheetml/2006/main" id="5" name="workExp" displayName="workExp" ref="E1:F33" headerRowCount="1" totalsRowCount="0" totalsRowShown="0">
  <autoFilter ref="E1:F33"/>
  <tableColumns count="2">
    <tableColumn id="1" name="Work Experience"/>
    <tableColumn id="2" name="Weight"/>
  </tableColumns>
</table>
</file>

<file path=xl/tables/table6.xml><?xml version="1.0" encoding="utf-8"?>
<table xmlns="http://schemas.openxmlformats.org/spreadsheetml/2006/main" id="6" name="year" displayName="year" ref="C1:C5" headerRowCount="1" totalsRowCount="0" totalsRowShown="0">
  <autoFilter ref="C1:C5"/>
  <tableColumns count="1">
    <tableColumn id="1" name="Year"/>
  </tableColumns>
</tabl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Relationship Id="rId3" Type="http://schemas.openxmlformats.org/officeDocument/2006/relationships/table" Target="../tables/table4.xml"/><Relationship Id="rId4" Type="http://schemas.openxmlformats.org/officeDocument/2006/relationships/table" Target="../tables/table5.xml"/><Relationship Id="rId5" Type="http://schemas.openxmlformats.org/officeDocument/2006/relationships/table" Target="../tables/table6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table" Target="../tables/table3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T10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11" activeCellId="0" sqref="F11"/>
    </sheetView>
  </sheetViews>
  <sheetFormatPr defaultColWidth="9.14453125" defaultRowHeight="15" zeroHeight="false" outlineLevelRow="0" outlineLevelCol="0"/>
  <cols>
    <col collapsed="false" customWidth="true" hidden="false" outlineLevel="0" max="2" min="1" style="1" width="12.14"/>
    <col collapsed="false" customWidth="true" hidden="false" outlineLevel="0" max="3" min="3" style="1" width="15"/>
    <col collapsed="false" customWidth="true" hidden="false" outlineLevel="0" max="4" min="4" style="1" width="15.57"/>
    <col collapsed="false" customWidth="true" hidden="false" outlineLevel="0" max="5" min="5" style="1" width="21.71"/>
    <col collapsed="false" customWidth="true" hidden="false" outlineLevel="0" max="6" min="6" style="1" width="18.43"/>
    <col collapsed="false" customWidth="true" hidden="false" outlineLevel="0" max="10" min="7" style="1" width="12.14"/>
    <col collapsed="false" customWidth="true" hidden="false" outlineLevel="0" max="11" min="11" style="1" width="14.85"/>
    <col collapsed="false" customWidth="true" hidden="false" outlineLevel="0" max="12" min="12" style="1" width="12.14"/>
    <col collapsed="false" customWidth="false" hidden="false" outlineLevel="0" max="1024" min="13" style="1" width="9.14"/>
  </cols>
  <sheetData>
    <row r="1" customFormat="false" ht="21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3"/>
      <c r="L1" s="3"/>
      <c r="M1" s="3"/>
    </row>
    <row r="2" customFormat="false" ht="15.75" hidden="false" customHeight="false" outlineLevel="0" collapsed="false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</row>
    <row r="3" customFormat="false" ht="15.75" hidden="false" customHeight="false" outlineLevel="0" collapsed="false">
      <c r="A3" s="3"/>
      <c r="B3" s="4" t="s">
        <v>1</v>
      </c>
      <c r="C3" s="5"/>
      <c r="D3" s="6"/>
      <c r="E3" s="6"/>
      <c r="F3" s="6"/>
      <c r="G3" s="3"/>
      <c r="H3" s="3"/>
      <c r="I3" s="3"/>
      <c r="J3" s="3"/>
      <c r="K3" s="3"/>
      <c r="L3" s="3"/>
      <c r="M3" s="3"/>
    </row>
    <row r="4" customFormat="false" ht="15.75" hidden="false" customHeight="false" outlineLevel="0" collapsed="false">
      <c r="A4" s="3"/>
      <c r="B4" s="7" t="s">
        <v>2</v>
      </c>
      <c r="C4" s="8"/>
      <c r="D4" s="9"/>
      <c r="E4" s="9"/>
      <c r="F4" s="9"/>
      <c r="G4" s="3"/>
      <c r="H4" s="3"/>
      <c r="I4" s="3"/>
      <c r="J4" s="10" t="s">
        <v>3</v>
      </c>
      <c r="K4" s="11" t="s">
        <v>4</v>
      </c>
      <c r="L4" s="12" t="s">
        <v>5</v>
      </c>
      <c r="M4" s="3"/>
    </row>
    <row r="5" customFormat="false" ht="15.75" hidden="false" customHeight="false" outlineLevel="0" collapsed="false">
      <c r="A5" s="3"/>
      <c r="B5" s="13" t="s">
        <v>6</v>
      </c>
      <c r="C5" s="14"/>
      <c r="D5" s="15"/>
      <c r="E5" s="15"/>
      <c r="F5" s="15"/>
      <c r="G5" s="3"/>
      <c r="H5" s="3"/>
      <c r="I5" s="3"/>
      <c r="M5" s="3"/>
    </row>
    <row r="6" customFormat="false" ht="15" hidden="false" customHeight="false" outlineLevel="0" collapsed="false">
      <c r="A6" s="3"/>
      <c r="B6" s="3"/>
      <c r="C6" s="3"/>
      <c r="D6" s="3"/>
      <c r="E6" s="3"/>
      <c r="F6" s="3"/>
      <c r="G6" s="3"/>
      <c r="H6" s="3"/>
      <c r="I6" s="3"/>
      <c r="M6" s="3"/>
    </row>
    <row r="7" customFormat="false" ht="15.75" hidden="false" customHeight="false" outlineLevel="0" collapsed="false">
      <c r="A7" s="3"/>
      <c r="B7" s="3"/>
      <c r="C7" s="3"/>
      <c r="D7" s="3"/>
      <c r="E7" s="3"/>
      <c r="F7" s="3"/>
      <c r="G7" s="3"/>
      <c r="H7" s="3"/>
      <c r="I7" s="3"/>
      <c r="M7" s="3"/>
    </row>
    <row r="8" customFormat="false" ht="15" hidden="false" customHeight="false" outlineLevel="0" collapsed="false">
      <c r="A8" s="16" t="s">
        <v>7</v>
      </c>
      <c r="B8" s="17"/>
      <c r="C8" s="17"/>
      <c r="D8" s="17"/>
      <c r="E8" s="18" t="s">
        <v>8</v>
      </c>
      <c r="F8" s="19"/>
      <c r="G8" s="3"/>
      <c r="H8" s="3"/>
      <c r="I8" s="3"/>
      <c r="M8" s="3"/>
    </row>
    <row r="9" customFormat="false" ht="15" hidden="false" customHeight="false" outlineLevel="0" collapsed="false">
      <c r="A9" s="20"/>
      <c r="B9" s="21" t="s">
        <v>9</v>
      </c>
      <c r="C9" s="21"/>
      <c r="D9" s="22"/>
      <c r="E9" s="23" t="s">
        <v>1</v>
      </c>
      <c r="F9" s="9" t="s">
        <v>10</v>
      </c>
      <c r="G9" s="3"/>
      <c r="H9" s="3"/>
      <c r="I9" s="3"/>
      <c r="M9" s="3"/>
    </row>
    <row r="10" s="24" customFormat="true" ht="15" hidden="false" customHeight="false" outlineLevel="0" collapsed="false">
      <c r="A10" s="20"/>
      <c r="B10" s="21" t="s">
        <v>11</v>
      </c>
      <c r="C10" s="21"/>
      <c r="D10" s="22"/>
      <c r="E10" s="23" t="s">
        <v>12</v>
      </c>
      <c r="F10" s="9" t="n">
        <v>3</v>
      </c>
      <c r="G10" s="3"/>
      <c r="H10" s="3"/>
      <c r="I10" s="3"/>
      <c r="M10" s="3"/>
      <c r="N10" s="1"/>
      <c r="O10" s="1"/>
      <c r="P10" s="1"/>
      <c r="Q10" s="1"/>
      <c r="R10" s="1"/>
      <c r="S10" s="1"/>
      <c r="T10" s="1"/>
    </row>
    <row r="11" customFormat="false" ht="15" hidden="false" customHeight="false" outlineLevel="0" collapsed="false">
      <c r="A11" s="20"/>
      <c r="B11" s="25"/>
      <c r="C11" s="25"/>
      <c r="D11" s="25"/>
      <c r="E11" s="23" t="s">
        <v>13</v>
      </c>
      <c r="F11" s="26" t="n">
        <v>45</v>
      </c>
      <c r="G11" s="3"/>
      <c r="H11" s="3"/>
      <c r="I11" s="3"/>
      <c r="M11" s="3"/>
    </row>
    <row r="12" customFormat="false" ht="15" hidden="false" customHeight="false" outlineLevel="0" collapsed="false">
      <c r="A12" s="20"/>
      <c r="B12" s="25"/>
      <c r="C12" s="25"/>
      <c r="D12" s="25"/>
      <c r="E12" s="25"/>
      <c r="F12" s="27"/>
      <c r="G12" s="3"/>
      <c r="H12" s="3"/>
      <c r="M12" s="3"/>
    </row>
    <row r="13" customFormat="false" ht="15" hidden="false" customHeight="false" outlineLevel="0" collapsed="false">
      <c r="A13" s="20"/>
      <c r="B13" s="28" t="s">
        <v>14</v>
      </c>
      <c r="C13" s="28"/>
      <c r="D13" s="8"/>
      <c r="E13" s="29"/>
      <c r="F13" s="29"/>
      <c r="G13" s="3"/>
      <c r="H13" s="3"/>
      <c r="I13" s="3"/>
      <c r="M13" s="3"/>
    </row>
    <row r="14" customFormat="false" ht="15" hidden="false" customHeight="false" outlineLevel="0" collapsed="false">
      <c r="A14" s="20"/>
      <c r="B14" s="25"/>
      <c r="C14" s="25"/>
      <c r="D14" s="25"/>
      <c r="E14" s="25"/>
      <c r="F14" s="27"/>
      <c r="G14" s="3"/>
      <c r="H14" s="3"/>
      <c r="I14" s="3"/>
      <c r="M14" s="3"/>
    </row>
    <row r="15" customFormat="false" ht="15" hidden="false" customHeight="false" outlineLevel="0" collapsed="false">
      <c r="A15" s="20"/>
      <c r="B15" s="30" t="s">
        <v>15</v>
      </c>
      <c r="C15" s="23" t="s">
        <v>16</v>
      </c>
      <c r="D15" s="8"/>
      <c r="E15" s="29"/>
      <c r="F15" s="29"/>
      <c r="G15" s="3"/>
      <c r="H15" s="3"/>
      <c r="I15" s="3"/>
      <c r="M15" s="3"/>
    </row>
    <row r="16" customFormat="false" ht="15" hidden="false" customHeight="false" outlineLevel="0" collapsed="false">
      <c r="A16" s="20"/>
      <c r="B16" s="25"/>
      <c r="C16" s="23" t="s">
        <v>12</v>
      </c>
      <c r="D16" s="8"/>
      <c r="E16" s="29"/>
      <c r="F16" s="29"/>
      <c r="G16" s="3"/>
      <c r="H16" s="3"/>
      <c r="I16" s="3"/>
      <c r="M16" s="3"/>
    </row>
    <row r="17" customFormat="false" ht="15.75" hidden="false" customHeight="false" outlineLevel="0" collapsed="false">
      <c r="A17" s="31"/>
      <c r="B17" s="32"/>
      <c r="C17" s="32"/>
      <c r="D17" s="32"/>
      <c r="E17" s="32"/>
      <c r="F17" s="33"/>
      <c r="G17" s="3"/>
      <c r="H17" s="3"/>
      <c r="I17" s="3"/>
      <c r="M17" s="3"/>
    </row>
    <row r="18" customFormat="false" ht="15.75" hidden="false" customHeight="false" outlineLevel="0" collapsed="false">
      <c r="A18" s="25"/>
      <c r="B18" s="25"/>
      <c r="C18" s="25"/>
      <c r="D18" s="25"/>
      <c r="E18" s="25"/>
      <c r="F18" s="25"/>
      <c r="G18" s="3"/>
      <c r="H18" s="3"/>
      <c r="I18" s="3"/>
      <c r="M18" s="3"/>
    </row>
    <row r="19" customFormat="false" ht="15" hidden="false" customHeight="false" outlineLevel="0" collapsed="false">
      <c r="A19" s="16" t="s">
        <v>17</v>
      </c>
      <c r="B19" s="17"/>
      <c r="C19" s="17"/>
      <c r="D19" s="17"/>
      <c r="E19" s="17"/>
      <c r="F19" s="19"/>
      <c r="G19" s="3"/>
      <c r="H19" s="3"/>
      <c r="I19" s="3"/>
      <c r="M19" s="3"/>
    </row>
    <row r="20" customFormat="false" ht="15" hidden="false" customHeight="false" outlineLevel="0" collapsed="false">
      <c r="A20" s="20"/>
      <c r="B20" s="34" t="s">
        <v>18</v>
      </c>
      <c r="C20" s="8"/>
      <c r="D20" s="8"/>
      <c r="E20" s="29"/>
      <c r="F20" s="29"/>
      <c r="G20" s="3"/>
      <c r="H20" s="3"/>
      <c r="I20" s="3"/>
      <c r="M20" s="3"/>
    </row>
    <row r="21" customFormat="false" ht="15.75" hidden="false" customHeight="false" outlineLevel="0" collapsed="false">
      <c r="A21" s="31"/>
      <c r="B21" s="35" t="s">
        <v>19</v>
      </c>
      <c r="C21" s="14"/>
      <c r="D21" s="14"/>
      <c r="E21" s="36"/>
      <c r="F21" s="36"/>
      <c r="G21" s="3"/>
      <c r="H21" s="3"/>
      <c r="I21" s="3"/>
      <c r="M21" s="3"/>
    </row>
    <row r="22" customFormat="false" ht="15" hidden="false" customHeight="false" outlineLevel="0" collapsed="false">
      <c r="A22" s="3"/>
      <c r="B22" s="3"/>
      <c r="C22" s="3"/>
      <c r="D22" s="3"/>
      <c r="E22" s="3"/>
      <c r="F22" s="3"/>
      <c r="G22" s="3"/>
      <c r="H22" s="3"/>
      <c r="I22" s="3"/>
      <c r="M22" s="3"/>
    </row>
    <row r="30" customFormat="false" ht="15" hidden="false" customHeight="false" outlineLevel="0" collapsed="false">
      <c r="J30" s="37"/>
      <c r="K30" s="37"/>
      <c r="L30" s="37"/>
    </row>
    <row r="101" customFormat="false" ht="15" hidden="false" customHeight="false" outlineLevel="0" collapsed="false">
      <c r="A101" s="38"/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38"/>
      <c r="M101" s="38"/>
      <c r="N101" s="38"/>
      <c r="O101" s="38"/>
      <c r="P101" s="38"/>
      <c r="Q101" s="38"/>
      <c r="R101" s="38"/>
    </row>
  </sheetData>
  <mergeCells count="12">
    <mergeCell ref="A1:J1"/>
    <mergeCell ref="D3:F3"/>
    <mergeCell ref="D4:F4"/>
    <mergeCell ref="D5:F5"/>
    <mergeCell ref="B9:C9"/>
    <mergeCell ref="B10:C10"/>
    <mergeCell ref="B13:C13"/>
    <mergeCell ref="E13:F13"/>
    <mergeCell ref="E15:F15"/>
    <mergeCell ref="E16:F16"/>
    <mergeCell ref="E20:F20"/>
    <mergeCell ref="E21:F21"/>
  </mergeCells>
  <dataValidations count="6">
    <dataValidation allowBlank="true" operator="between" showDropDown="false" showErrorMessage="true" showInputMessage="false" sqref="F11" type="decimal">
      <formula1>0</formula1>
      <formula2>100</formula2>
    </dataValidation>
    <dataValidation allowBlank="true" operator="between" showDropDown="false" showErrorMessage="true" showInputMessage="true" sqref="F10" type="list">
      <formula1>lists!$C$2:$C$5</formula1>
      <formula2>0</formula2>
    </dataValidation>
    <dataValidation allowBlank="true" operator="between" showDropDown="false" showErrorMessage="true" showInputMessage="true" sqref="E20" type="list">
      <formula1>lists!$E$2:$E$33</formula1>
      <formula2>0</formula2>
    </dataValidation>
    <dataValidation allowBlank="true" operator="between" showDropDown="false" showErrorMessage="true" showInputMessage="true" sqref="E21:F21" type="list">
      <formula1>lists!$H$2:$H$3</formula1>
      <formula2>0</formula2>
    </dataValidation>
    <dataValidation allowBlank="true" operator="between" showDropDown="false" showErrorMessage="false" showInputMessage="true" sqref="F9" type="list">
      <formula1>lists!$A$2:$A$713</formula1>
      <formula2>0</formula2>
    </dataValidation>
    <dataValidation allowBlank="true" operator="between" showDropDown="false" showErrorMessage="true" showInputMessage="true" sqref="D5:F5" type="list">
      <formula1>lists!$K$2:$K$4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M713"/>
  <sheetViews>
    <sheetView showFormulas="false" showGridLines="true" showRowColHeaders="true" showZeros="true" rightToLeft="false" tabSelected="true" showOutlineSymbols="true" defaultGridColor="true" view="normal" topLeftCell="F15" colorId="64" zoomScale="100" zoomScaleNormal="100" zoomScalePageLayoutView="100" workbookViewId="0">
      <selection pane="topLeft" activeCell="I28" activeCellId="0" sqref="I28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9.71"/>
    <col collapsed="false" customWidth="true" hidden="false" outlineLevel="0" max="3" min="3" style="0" width="15"/>
    <col collapsed="false" customWidth="true" hidden="false" outlineLevel="0" max="5" min="5" style="0" width="18.43"/>
    <col collapsed="false" customWidth="true" hidden="false" outlineLevel="0" max="6" min="6" style="0" width="9.71"/>
    <col collapsed="false" customWidth="true" hidden="false" outlineLevel="0" max="8" min="8" style="0" width="22"/>
    <col collapsed="false" customWidth="true" hidden="false" outlineLevel="0" max="9" min="9" style="0" width="29.29"/>
    <col collapsed="false" customWidth="true" hidden="false" outlineLevel="0" max="10" min="10" style="0" width="20.71"/>
    <col collapsed="false" customWidth="true" hidden="false" outlineLevel="0" max="11" min="11" style="0" width="18.14"/>
    <col collapsed="false" customWidth="true" hidden="false" outlineLevel="0" max="12" min="12" style="0" width="14.28"/>
    <col collapsed="false" customWidth="true" hidden="false" outlineLevel="0" max="13" min="13" style="0" width="2.28"/>
  </cols>
  <sheetData>
    <row r="1" customFormat="false" ht="15" hidden="false" customHeight="false" outlineLevel="0" collapsed="false">
      <c r="A1" s="39" t="s">
        <v>20</v>
      </c>
      <c r="C1" s="39" t="s">
        <v>4</v>
      </c>
      <c r="E1" s="40" t="s">
        <v>21</v>
      </c>
      <c r="F1" s="39" t="s">
        <v>22</v>
      </c>
      <c r="H1" s="39" t="s">
        <v>23</v>
      </c>
      <c r="I1" s="39" t="s">
        <v>22</v>
      </c>
      <c r="K1" s="39" t="s">
        <v>24</v>
      </c>
    </row>
    <row r="2" customFormat="false" ht="15" hidden="false" customHeight="false" outlineLevel="0" collapsed="false">
      <c r="A2" s="0" t="s">
        <v>25</v>
      </c>
      <c r="C2" s="0" t="n">
        <v>1</v>
      </c>
      <c r="E2" s="41" t="s">
        <v>26</v>
      </c>
      <c r="F2" s="0" t="n">
        <v>4</v>
      </c>
      <c r="H2" s="0" t="s">
        <v>27</v>
      </c>
      <c r="I2" s="0" t="n">
        <v>3</v>
      </c>
      <c r="K2" s="0" t="s">
        <v>28</v>
      </c>
    </row>
    <row r="3" customFormat="false" ht="25.5" hidden="false" customHeight="false" outlineLevel="0" collapsed="false">
      <c r="A3" s="0" t="s">
        <v>29</v>
      </c>
      <c r="C3" s="0" t="n">
        <v>2</v>
      </c>
      <c r="E3" s="41" t="s">
        <v>30</v>
      </c>
      <c r="F3" s="0" t="n">
        <v>4</v>
      </c>
      <c r="H3" s="0" t="s">
        <v>31</v>
      </c>
      <c r="I3" s="0" t="n">
        <v>2</v>
      </c>
      <c r="K3" s="0" t="s">
        <v>32</v>
      </c>
    </row>
    <row r="4" customFormat="false" ht="15" hidden="false" customHeight="false" outlineLevel="0" collapsed="false">
      <c r="A4" s="0" t="s">
        <v>33</v>
      </c>
      <c r="C4" s="0" t="n">
        <v>3</v>
      </c>
      <c r="E4" s="41" t="s">
        <v>34</v>
      </c>
      <c r="F4" s="0" t="n">
        <v>4</v>
      </c>
      <c r="K4" s="0" t="s">
        <v>35</v>
      </c>
    </row>
    <row r="5" customFormat="false" ht="15" hidden="false" customHeight="false" outlineLevel="0" collapsed="false">
      <c r="A5" s="0" t="s">
        <v>10</v>
      </c>
      <c r="C5" s="0" t="s">
        <v>36</v>
      </c>
      <c r="E5" s="41" t="s">
        <v>37</v>
      </c>
      <c r="F5" s="0" t="n">
        <v>4</v>
      </c>
    </row>
    <row r="6" customFormat="false" ht="15" hidden="false" customHeight="false" outlineLevel="0" collapsed="false">
      <c r="A6" s="0" t="s">
        <v>38</v>
      </c>
      <c r="E6" s="41" t="s">
        <v>39</v>
      </c>
      <c r="F6" s="0" t="n">
        <v>4</v>
      </c>
    </row>
    <row r="7" customFormat="false" ht="15" hidden="false" customHeight="false" outlineLevel="0" collapsed="false">
      <c r="A7" s="0" t="s">
        <v>40</v>
      </c>
      <c r="E7" s="41" t="s">
        <v>41</v>
      </c>
      <c r="F7" s="0" t="n">
        <v>4</v>
      </c>
    </row>
    <row r="8" customFormat="false" ht="15" hidden="false" customHeight="false" outlineLevel="0" collapsed="false">
      <c r="A8" s="0" t="s">
        <v>42</v>
      </c>
      <c r="E8" s="41" t="s">
        <v>43</v>
      </c>
      <c r="F8" s="0" t="n">
        <v>4</v>
      </c>
    </row>
    <row r="9" customFormat="false" ht="25.5" hidden="false" customHeight="false" outlineLevel="0" collapsed="false">
      <c r="A9" s="0" t="s">
        <v>44</v>
      </c>
      <c r="E9" s="41" t="s">
        <v>45</v>
      </c>
      <c r="F9" s="0" t="n">
        <v>4</v>
      </c>
    </row>
    <row r="10" customFormat="false" ht="51.75" hidden="false" customHeight="false" outlineLevel="0" collapsed="false">
      <c r="A10" s="0" t="s">
        <v>46</v>
      </c>
      <c r="E10" s="41" t="s">
        <v>47</v>
      </c>
      <c r="F10" s="0" t="n">
        <v>4</v>
      </c>
    </row>
    <row r="11" customFormat="false" ht="24" hidden="false" customHeight="false" outlineLevel="0" collapsed="false">
      <c r="A11" s="0" t="s">
        <v>48</v>
      </c>
      <c r="E11" s="41" t="s">
        <v>49</v>
      </c>
      <c r="F11" s="0" t="n">
        <v>4</v>
      </c>
      <c r="H11" s="42" t="s">
        <v>50</v>
      </c>
      <c r="I11" s="42"/>
      <c r="J11" s="43"/>
      <c r="K11" s="43"/>
      <c r="L11" s="43"/>
      <c r="M11" s="44"/>
    </row>
    <row r="12" customFormat="false" ht="15" hidden="false" customHeight="false" outlineLevel="0" collapsed="false">
      <c r="A12" s="0" t="s">
        <v>51</v>
      </c>
      <c r="E12" s="41" t="s">
        <v>52</v>
      </c>
      <c r="F12" s="45" t="n">
        <v>4</v>
      </c>
      <c r="H12" s="46" t="s">
        <v>53</v>
      </c>
      <c r="I12" s="45" t="n">
        <v>2</v>
      </c>
      <c r="J12" s="47" t="s">
        <v>54</v>
      </c>
      <c r="K12" s="48" t="s">
        <v>55</v>
      </c>
      <c r="L12" s="45" t="n">
        <f aca="false">IF(studentInput!D9&lt;&gt;0,1,0)</f>
        <v>0</v>
      </c>
      <c r="M12" s="49"/>
    </row>
    <row r="13" customFormat="false" ht="13.8" hidden="false" customHeight="false" outlineLevel="0" collapsed="false">
      <c r="A13" s="0" t="s">
        <v>56</v>
      </c>
      <c r="E13" s="41" t="s">
        <v>57</v>
      </c>
      <c r="F13" s="45" t="n">
        <v>4</v>
      </c>
      <c r="H13" s="46" t="s">
        <v>58</v>
      </c>
      <c r="I13" s="45" t="n">
        <f aca="false">COUNTIF(L12:L13,"&lt;&gt;0")+COUNTIF(L16:L19,"&lt;&gt;0")</f>
        <v>0</v>
      </c>
      <c r="J13" s="47"/>
      <c r="K13" s="48" t="s">
        <v>59</v>
      </c>
      <c r="L13" s="45" t="n">
        <f aca="false">IF(studentInput!D10&lt;&gt;1,0,1)</f>
        <v>0</v>
      </c>
      <c r="M13" s="49"/>
    </row>
    <row r="14" customFormat="false" ht="25.5" hidden="false" customHeight="false" outlineLevel="0" collapsed="false">
      <c r="A14" s="0" t="s">
        <v>60</v>
      </c>
      <c r="E14" s="41" t="s">
        <v>61</v>
      </c>
      <c r="F14" s="45" t="n">
        <v>4</v>
      </c>
      <c r="H14" s="46" t="s">
        <v>62</v>
      </c>
      <c r="I14" s="45" t="n">
        <v>2020</v>
      </c>
      <c r="J14" s="47"/>
      <c r="K14" s="48" t="s">
        <v>63</v>
      </c>
      <c r="L14" s="45" t="n">
        <f aca="false">studentInput!E20</f>
        <v>0</v>
      </c>
      <c r="M14" s="49"/>
    </row>
    <row r="15" customFormat="false" ht="15" hidden="false" customHeight="false" outlineLevel="0" collapsed="false">
      <c r="A15" s="0" t="s">
        <v>64</v>
      </c>
      <c r="E15" s="41" t="s">
        <v>65</v>
      </c>
      <c r="F15" s="45" t="n">
        <v>4</v>
      </c>
      <c r="H15" s="46" t="s">
        <v>66</v>
      </c>
      <c r="I15" s="45" t="n">
        <v>0</v>
      </c>
      <c r="J15" s="47"/>
      <c r="K15" s="48" t="s">
        <v>67</v>
      </c>
      <c r="L15" s="45" t="n">
        <f aca="false">studentInput!E21</f>
        <v>0</v>
      </c>
      <c r="M15" s="49"/>
    </row>
    <row r="16" customFormat="false" ht="25.5" hidden="false" customHeight="false" outlineLevel="0" collapsed="false">
      <c r="A16" s="0" t="s">
        <v>68</v>
      </c>
      <c r="E16" s="41" t="s">
        <v>69</v>
      </c>
      <c r="F16" s="45" t="n">
        <v>4</v>
      </c>
      <c r="H16" s="46" t="s">
        <v>70</v>
      </c>
      <c r="I16" s="45" t="n">
        <v>0</v>
      </c>
      <c r="J16" s="47"/>
      <c r="K16" s="48" t="s">
        <v>71</v>
      </c>
      <c r="L16" s="45" t="n">
        <f aca="false">COUNTIF(studentInput!K5:K100,1)</f>
        <v>0</v>
      </c>
      <c r="M16" s="49"/>
    </row>
    <row r="17" customFormat="false" ht="15" hidden="false" customHeight="false" outlineLevel="0" collapsed="false">
      <c r="A17" s="0" t="s">
        <v>72</v>
      </c>
      <c r="E17" s="50" t="s">
        <v>73</v>
      </c>
      <c r="F17" s="45" t="n">
        <v>4</v>
      </c>
      <c r="H17" s="46" t="s">
        <v>74</v>
      </c>
      <c r="I17" s="45" t="n">
        <v>0</v>
      </c>
      <c r="J17" s="47"/>
      <c r="K17" s="48" t="s">
        <v>75</v>
      </c>
      <c r="L17" s="45" t="n">
        <f aca="false">COUNTIF(studentInput!K5:K100,2)</f>
        <v>0</v>
      </c>
      <c r="M17" s="49"/>
    </row>
    <row r="18" customFormat="false" ht="15" hidden="false" customHeight="false" outlineLevel="0" collapsed="false">
      <c r="A18" s="0" t="s">
        <v>76</v>
      </c>
      <c r="E18" s="41" t="s">
        <v>77</v>
      </c>
      <c r="F18" s="45" t="n">
        <v>2</v>
      </c>
      <c r="H18" s="46" t="s">
        <v>78</v>
      </c>
      <c r="I18" s="45" t="n">
        <v>0</v>
      </c>
      <c r="J18" s="47"/>
      <c r="K18" s="48" t="s">
        <v>79</v>
      </c>
      <c r="L18" s="45" t="n">
        <f aca="false">COUNTIF(studentInput!K5:K100,3)</f>
        <v>0</v>
      </c>
      <c r="M18" s="49"/>
    </row>
    <row r="19" customFormat="false" ht="25.5" hidden="false" customHeight="false" outlineLevel="0" collapsed="false">
      <c r="A19" s="0" t="s">
        <v>80</v>
      </c>
      <c r="E19" s="41" t="s">
        <v>81</v>
      </c>
      <c r="F19" s="45" t="n">
        <v>2</v>
      </c>
      <c r="H19" s="46" t="s">
        <v>82</v>
      </c>
      <c r="I19" s="45" t="n">
        <f aca="false">studentInput!D9</f>
        <v>0</v>
      </c>
      <c r="J19" s="47"/>
      <c r="K19" s="48" t="s">
        <v>83</v>
      </c>
      <c r="L19" s="45" t="n">
        <f aca="false">COUNTIF(studentInput!K5:K100,"Honours/B.Psyc")</f>
        <v>0</v>
      </c>
      <c r="M19" s="49"/>
    </row>
    <row r="20" customFormat="false" ht="15" hidden="false" customHeight="false" outlineLevel="0" collapsed="false">
      <c r="A20" s="0" t="s">
        <v>84</v>
      </c>
      <c r="E20" s="41" t="s">
        <v>85</v>
      </c>
      <c r="F20" s="45" t="n">
        <v>2</v>
      </c>
      <c r="H20" s="46" t="s">
        <v>86</v>
      </c>
      <c r="I20" s="45" t="n">
        <f aca="false">studentInput!D10</f>
        <v>0</v>
      </c>
      <c r="J20" s="47"/>
      <c r="K20" s="48"/>
      <c r="L20" s="45"/>
      <c r="M20" s="49"/>
    </row>
    <row r="21" customFormat="false" ht="25.5" hidden="false" customHeight="false" outlineLevel="0" collapsed="false">
      <c r="A21" s="0" t="s">
        <v>87</v>
      </c>
      <c r="E21" s="41" t="s">
        <v>88</v>
      </c>
      <c r="F21" s="45" t="n">
        <v>2</v>
      </c>
      <c r="H21" s="46" t="s">
        <v>89</v>
      </c>
      <c r="I21" s="45" t="e">
        <f aca="false">((((I15/L16)*0.1)+((I16/L17)*0.2)+((I17/L18)*0.3)+((I18/L19)*0.4)+(I19*0.6)+(I20*(70*0.7)))/I13)*4</f>
        <v>#DIV/0!</v>
      </c>
      <c r="J21" s="47"/>
      <c r="K21" s="48"/>
      <c r="L21" s="45"/>
      <c r="M21" s="49"/>
    </row>
    <row r="22" customFormat="false" ht="51" hidden="false" customHeight="false" outlineLevel="0" collapsed="false">
      <c r="A22" s="0" t="s">
        <v>90</v>
      </c>
      <c r="E22" s="41" t="s">
        <v>91</v>
      </c>
      <c r="F22" s="45" t="n">
        <v>2</v>
      </c>
      <c r="H22" s="46" t="s">
        <v>92</v>
      </c>
      <c r="I22" s="45" t="e">
        <f aca="false">I21/219*100</f>
        <v>#DIV/0!</v>
      </c>
      <c r="J22" s="47"/>
      <c r="K22" s="48"/>
      <c r="L22" s="45"/>
      <c r="M22" s="49"/>
    </row>
    <row r="23" customFormat="false" ht="38.25" hidden="false" customHeight="false" outlineLevel="0" collapsed="false">
      <c r="A23" s="0" t="s">
        <v>93</v>
      </c>
      <c r="E23" s="41" t="s">
        <v>94</v>
      </c>
      <c r="F23" s="45" t="n">
        <v>2</v>
      </c>
      <c r="H23" s="46" t="s">
        <v>95</v>
      </c>
      <c r="I23" s="45" t="e">
        <f aca="false">VLOOKUP(L14,workExp[],2,0)</f>
        <v>#N/A</v>
      </c>
      <c r="J23" s="47"/>
      <c r="K23" s="48"/>
      <c r="L23" s="45"/>
      <c r="M23" s="49"/>
    </row>
    <row r="24" customFormat="false" ht="15" hidden="false" customHeight="false" outlineLevel="0" collapsed="false">
      <c r="A24" s="0" t="s">
        <v>96</v>
      </c>
      <c r="E24" s="41" t="s">
        <v>97</v>
      </c>
      <c r="F24" s="45" t="n">
        <v>2</v>
      </c>
      <c r="H24" s="46" t="s">
        <v>98</v>
      </c>
      <c r="I24" s="45" t="e">
        <f aca="false">VLOOKUP(L15,academicExp[],2,0)</f>
        <v>#N/A</v>
      </c>
      <c r="J24" s="47"/>
      <c r="K24" s="48"/>
      <c r="L24" s="45"/>
      <c r="M24" s="49"/>
    </row>
    <row r="25" customFormat="false" ht="25.5" hidden="false" customHeight="false" outlineLevel="0" collapsed="false">
      <c r="A25" s="0" t="s">
        <v>99</v>
      </c>
      <c r="E25" s="41" t="s">
        <v>100</v>
      </c>
      <c r="F25" s="45" t="n">
        <v>2</v>
      </c>
      <c r="H25" s="46" t="s">
        <v>101</v>
      </c>
      <c r="I25" s="45" t="e">
        <f aca="false">I24+I23</f>
        <v>#N/A</v>
      </c>
      <c r="J25" s="47"/>
      <c r="K25" s="48"/>
      <c r="L25" s="45"/>
      <c r="M25" s="49"/>
    </row>
    <row r="26" customFormat="false" ht="38.25" hidden="false" customHeight="false" outlineLevel="0" collapsed="false">
      <c r="A26" s="0" t="s">
        <v>102</v>
      </c>
      <c r="E26" s="41" t="s">
        <v>103</v>
      </c>
      <c r="F26" s="45" t="n">
        <v>2</v>
      </c>
      <c r="H26" s="46" t="s">
        <v>104</v>
      </c>
      <c r="I26" s="45" t="e">
        <f aca="false">I25/7*100</f>
        <v>#N/A</v>
      </c>
      <c r="J26" s="47"/>
      <c r="K26" s="48"/>
      <c r="L26" s="45"/>
      <c r="M26" s="49"/>
    </row>
    <row r="27" customFormat="false" ht="26.25" hidden="false" customHeight="false" outlineLevel="0" collapsed="false">
      <c r="A27" s="0" t="s">
        <v>105</v>
      </c>
      <c r="E27" s="50" t="s">
        <v>106</v>
      </c>
      <c r="F27" s="45" t="n">
        <v>2</v>
      </c>
      <c r="H27" s="51" t="s">
        <v>107</v>
      </c>
      <c r="I27" s="52" t="e">
        <f aca="false">(3*I22) + I26</f>
        <v>#DIV/0!</v>
      </c>
      <c r="J27" s="53"/>
      <c r="K27" s="54"/>
      <c r="L27" s="52"/>
      <c r="M27" s="55"/>
    </row>
    <row r="28" customFormat="false" ht="15" hidden="false" customHeight="false" outlineLevel="0" collapsed="false">
      <c r="A28" s="0" t="s">
        <v>108</v>
      </c>
      <c r="E28" s="41" t="s">
        <v>109</v>
      </c>
      <c r="F28" s="45" t="n">
        <v>1</v>
      </c>
    </row>
    <row r="29" customFormat="false" ht="15" hidden="false" customHeight="false" outlineLevel="0" collapsed="false">
      <c r="A29" s="0" t="s">
        <v>110</v>
      </c>
      <c r="E29" s="41" t="s">
        <v>111</v>
      </c>
      <c r="F29" s="45" t="n">
        <v>1</v>
      </c>
    </row>
    <row r="30" customFormat="false" ht="15" hidden="false" customHeight="false" outlineLevel="0" collapsed="false">
      <c r="A30" s="0" t="s">
        <v>112</v>
      </c>
      <c r="E30" s="41" t="s">
        <v>113</v>
      </c>
      <c r="F30" s="45" t="n">
        <v>1</v>
      </c>
    </row>
    <row r="31" customFormat="false" ht="15" hidden="false" customHeight="false" outlineLevel="0" collapsed="false">
      <c r="A31" s="0" t="s">
        <v>114</v>
      </c>
      <c r="E31" s="41" t="s">
        <v>115</v>
      </c>
      <c r="F31" s="45" t="n">
        <v>1</v>
      </c>
    </row>
    <row r="32" customFormat="false" ht="15" hidden="false" customHeight="false" outlineLevel="0" collapsed="false">
      <c r="A32" s="0" t="s">
        <v>116</v>
      </c>
      <c r="E32" s="41" t="s">
        <v>117</v>
      </c>
      <c r="F32" s="45" t="n">
        <v>1</v>
      </c>
    </row>
    <row r="33" customFormat="false" ht="15" hidden="false" customHeight="false" outlineLevel="0" collapsed="false">
      <c r="A33" s="0" t="s">
        <v>118</v>
      </c>
      <c r="E33" s="50" t="s">
        <v>119</v>
      </c>
      <c r="F33" s="45" t="n">
        <v>1</v>
      </c>
    </row>
    <row r="34" customFormat="false" ht="15" hidden="false" customHeight="false" outlineLevel="0" collapsed="false">
      <c r="A34" s="0" t="s">
        <v>120</v>
      </c>
    </row>
    <row r="35" customFormat="false" ht="15" hidden="false" customHeight="false" outlineLevel="0" collapsed="false">
      <c r="A35" s="0" t="s">
        <v>121</v>
      </c>
    </row>
    <row r="36" customFormat="false" ht="15" hidden="false" customHeight="false" outlineLevel="0" collapsed="false">
      <c r="A36" s="0" t="s">
        <v>122</v>
      </c>
    </row>
    <row r="37" customFormat="false" ht="15" hidden="false" customHeight="false" outlineLevel="0" collapsed="false">
      <c r="A37" s="0" t="s">
        <v>123</v>
      </c>
    </row>
    <row r="38" customFormat="false" ht="15" hidden="false" customHeight="false" outlineLevel="0" collapsed="false">
      <c r="A38" s="0" t="s">
        <v>124</v>
      </c>
    </row>
    <row r="39" customFormat="false" ht="15" hidden="false" customHeight="false" outlineLevel="0" collapsed="false">
      <c r="A39" s="0" t="s">
        <v>125</v>
      </c>
    </row>
    <row r="40" customFormat="false" ht="15" hidden="false" customHeight="false" outlineLevel="0" collapsed="false">
      <c r="A40" s="0" t="s">
        <v>126</v>
      </c>
    </row>
    <row r="41" customFormat="false" ht="15" hidden="false" customHeight="false" outlineLevel="0" collapsed="false">
      <c r="A41" s="0" t="s">
        <v>127</v>
      </c>
    </row>
    <row r="42" customFormat="false" ht="15" hidden="false" customHeight="false" outlineLevel="0" collapsed="false">
      <c r="A42" s="0" t="s">
        <v>128</v>
      </c>
    </row>
    <row r="43" customFormat="false" ht="15" hidden="false" customHeight="false" outlineLevel="0" collapsed="false">
      <c r="A43" s="0" t="s">
        <v>129</v>
      </c>
    </row>
    <row r="44" customFormat="false" ht="15" hidden="false" customHeight="false" outlineLevel="0" collapsed="false">
      <c r="A44" s="0" t="s">
        <v>130</v>
      </c>
    </row>
    <row r="45" customFormat="false" ht="15" hidden="false" customHeight="false" outlineLevel="0" collapsed="false">
      <c r="A45" s="0" t="s">
        <v>131</v>
      </c>
    </row>
    <row r="46" customFormat="false" ht="15" hidden="false" customHeight="false" outlineLevel="0" collapsed="false">
      <c r="A46" s="0" t="s">
        <v>132</v>
      </c>
    </row>
    <row r="47" customFormat="false" ht="15" hidden="false" customHeight="false" outlineLevel="0" collapsed="false">
      <c r="A47" s="0" t="s">
        <v>133</v>
      </c>
    </row>
    <row r="48" customFormat="false" ht="15" hidden="false" customHeight="false" outlineLevel="0" collapsed="false">
      <c r="A48" s="0" t="s">
        <v>134</v>
      </c>
    </row>
    <row r="49" customFormat="false" ht="15" hidden="false" customHeight="false" outlineLevel="0" collapsed="false">
      <c r="A49" s="0" t="s">
        <v>135</v>
      </c>
    </row>
    <row r="50" customFormat="false" ht="15" hidden="false" customHeight="false" outlineLevel="0" collapsed="false">
      <c r="A50" s="0" t="s">
        <v>136</v>
      </c>
    </row>
    <row r="51" customFormat="false" ht="15" hidden="false" customHeight="false" outlineLevel="0" collapsed="false">
      <c r="A51" s="0" t="s">
        <v>137</v>
      </c>
    </row>
    <row r="52" customFormat="false" ht="15" hidden="false" customHeight="false" outlineLevel="0" collapsed="false">
      <c r="A52" s="0" t="s">
        <v>138</v>
      </c>
    </row>
    <row r="53" customFormat="false" ht="15" hidden="false" customHeight="false" outlineLevel="0" collapsed="false">
      <c r="A53" s="0" t="s">
        <v>139</v>
      </c>
    </row>
    <row r="54" customFormat="false" ht="15" hidden="false" customHeight="false" outlineLevel="0" collapsed="false">
      <c r="A54" s="0" t="s">
        <v>140</v>
      </c>
    </row>
    <row r="55" customFormat="false" ht="15" hidden="false" customHeight="false" outlineLevel="0" collapsed="false">
      <c r="A55" s="0" t="s">
        <v>141</v>
      </c>
    </row>
    <row r="56" customFormat="false" ht="15" hidden="false" customHeight="false" outlineLevel="0" collapsed="false">
      <c r="A56" s="0" t="s">
        <v>142</v>
      </c>
    </row>
    <row r="57" customFormat="false" ht="15" hidden="false" customHeight="false" outlineLevel="0" collapsed="false">
      <c r="A57" s="0" t="s">
        <v>143</v>
      </c>
    </row>
    <row r="58" customFormat="false" ht="15" hidden="false" customHeight="false" outlineLevel="0" collapsed="false">
      <c r="A58" s="0" t="s">
        <v>144</v>
      </c>
    </row>
    <row r="59" customFormat="false" ht="15" hidden="false" customHeight="false" outlineLevel="0" collapsed="false">
      <c r="A59" s="0" t="s">
        <v>145</v>
      </c>
    </row>
    <row r="60" customFormat="false" ht="15" hidden="false" customHeight="false" outlineLevel="0" collapsed="false">
      <c r="A60" s="0" t="s">
        <v>146</v>
      </c>
    </row>
    <row r="61" customFormat="false" ht="15" hidden="false" customHeight="false" outlineLevel="0" collapsed="false">
      <c r="A61" s="0" t="s">
        <v>147</v>
      </c>
    </row>
    <row r="62" customFormat="false" ht="15" hidden="false" customHeight="false" outlineLevel="0" collapsed="false">
      <c r="A62" s="0" t="s">
        <v>148</v>
      </c>
    </row>
    <row r="63" customFormat="false" ht="15" hidden="false" customHeight="false" outlineLevel="0" collapsed="false">
      <c r="A63" s="0" t="s">
        <v>149</v>
      </c>
    </row>
    <row r="64" customFormat="false" ht="15" hidden="false" customHeight="false" outlineLevel="0" collapsed="false">
      <c r="A64" s="0" t="s">
        <v>150</v>
      </c>
    </row>
    <row r="65" customFormat="false" ht="15" hidden="false" customHeight="false" outlineLevel="0" collapsed="false">
      <c r="A65" s="0" t="s">
        <v>151</v>
      </c>
    </row>
    <row r="66" customFormat="false" ht="15" hidden="false" customHeight="false" outlineLevel="0" collapsed="false">
      <c r="A66" s="0" t="s">
        <v>152</v>
      </c>
    </row>
    <row r="67" customFormat="false" ht="15" hidden="false" customHeight="false" outlineLevel="0" collapsed="false">
      <c r="A67" s="0" t="s">
        <v>153</v>
      </c>
    </row>
    <row r="68" customFormat="false" ht="15" hidden="false" customHeight="false" outlineLevel="0" collapsed="false">
      <c r="A68" s="0" t="s">
        <v>154</v>
      </c>
    </row>
    <row r="69" customFormat="false" ht="15" hidden="false" customHeight="false" outlineLevel="0" collapsed="false">
      <c r="A69" s="0" t="s">
        <v>155</v>
      </c>
    </row>
    <row r="70" customFormat="false" ht="15" hidden="false" customHeight="false" outlineLevel="0" collapsed="false">
      <c r="A70" s="0" t="s">
        <v>156</v>
      </c>
    </row>
    <row r="71" customFormat="false" ht="15" hidden="false" customHeight="false" outlineLevel="0" collapsed="false">
      <c r="A71" s="0" t="s">
        <v>157</v>
      </c>
    </row>
    <row r="72" customFormat="false" ht="15" hidden="false" customHeight="false" outlineLevel="0" collapsed="false">
      <c r="A72" s="0" t="s">
        <v>158</v>
      </c>
    </row>
    <row r="73" customFormat="false" ht="15" hidden="false" customHeight="false" outlineLevel="0" collapsed="false">
      <c r="A73" s="0" t="s">
        <v>159</v>
      </c>
    </row>
    <row r="74" customFormat="false" ht="15" hidden="false" customHeight="false" outlineLevel="0" collapsed="false">
      <c r="A74" s="0" t="s">
        <v>160</v>
      </c>
    </row>
    <row r="75" customFormat="false" ht="15" hidden="false" customHeight="false" outlineLevel="0" collapsed="false">
      <c r="A75" s="0" t="s">
        <v>161</v>
      </c>
    </row>
    <row r="76" customFormat="false" ht="15" hidden="false" customHeight="false" outlineLevel="0" collapsed="false">
      <c r="A76" s="0" t="s">
        <v>162</v>
      </c>
    </row>
    <row r="77" customFormat="false" ht="15" hidden="false" customHeight="false" outlineLevel="0" collapsed="false">
      <c r="A77" s="0" t="s">
        <v>163</v>
      </c>
    </row>
    <row r="78" customFormat="false" ht="15" hidden="false" customHeight="false" outlineLevel="0" collapsed="false">
      <c r="A78" s="0" t="s">
        <v>164</v>
      </c>
    </row>
    <row r="79" customFormat="false" ht="15" hidden="false" customHeight="false" outlineLevel="0" collapsed="false">
      <c r="A79" s="0" t="s">
        <v>165</v>
      </c>
    </row>
    <row r="80" customFormat="false" ht="15" hidden="false" customHeight="false" outlineLevel="0" collapsed="false">
      <c r="A80" s="0" t="s">
        <v>166</v>
      </c>
    </row>
    <row r="81" customFormat="false" ht="15" hidden="false" customHeight="false" outlineLevel="0" collapsed="false">
      <c r="A81" s="0" t="s">
        <v>167</v>
      </c>
    </row>
    <row r="82" customFormat="false" ht="15" hidden="false" customHeight="false" outlineLevel="0" collapsed="false">
      <c r="A82" s="0" t="s">
        <v>168</v>
      </c>
    </row>
    <row r="83" customFormat="false" ht="15" hidden="false" customHeight="false" outlineLevel="0" collapsed="false">
      <c r="A83" s="0" t="s">
        <v>169</v>
      </c>
    </row>
    <row r="84" customFormat="false" ht="15" hidden="false" customHeight="false" outlineLevel="0" collapsed="false">
      <c r="A84" s="0" t="s">
        <v>170</v>
      </c>
    </row>
    <row r="85" customFormat="false" ht="15" hidden="false" customHeight="false" outlineLevel="0" collapsed="false">
      <c r="A85" s="0" t="s">
        <v>171</v>
      </c>
    </row>
    <row r="86" customFormat="false" ht="15" hidden="false" customHeight="false" outlineLevel="0" collapsed="false">
      <c r="A86" s="0" t="s">
        <v>172</v>
      </c>
    </row>
    <row r="87" customFormat="false" ht="15" hidden="false" customHeight="false" outlineLevel="0" collapsed="false">
      <c r="A87" s="0" t="s">
        <v>173</v>
      </c>
    </row>
    <row r="88" customFormat="false" ht="15" hidden="false" customHeight="false" outlineLevel="0" collapsed="false">
      <c r="A88" s="0" t="s">
        <v>174</v>
      </c>
    </row>
    <row r="89" customFormat="false" ht="15" hidden="false" customHeight="false" outlineLevel="0" collapsed="false">
      <c r="A89" s="0" t="s">
        <v>175</v>
      </c>
    </row>
    <row r="90" customFormat="false" ht="15" hidden="false" customHeight="false" outlineLevel="0" collapsed="false">
      <c r="A90" s="0" t="s">
        <v>176</v>
      </c>
    </row>
    <row r="91" customFormat="false" ht="15" hidden="false" customHeight="false" outlineLevel="0" collapsed="false">
      <c r="A91" s="0" t="s">
        <v>177</v>
      </c>
    </row>
    <row r="92" customFormat="false" ht="15" hidden="false" customHeight="false" outlineLevel="0" collapsed="false">
      <c r="A92" s="0" t="s">
        <v>178</v>
      </c>
    </row>
    <row r="93" customFormat="false" ht="15" hidden="false" customHeight="false" outlineLevel="0" collapsed="false">
      <c r="A93" s="0" t="s">
        <v>179</v>
      </c>
    </row>
    <row r="94" customFormat="false" ht="15" hidden="false" customHeight="false" outlineLevel="0" collapsed="false">
      <c r="A94" s="0" t="s">
        <v>180</v>
      </c>
    </row>
    <row r="95" customFormat="false" ht="15" hidden="false" customHeight="false" outlineLevel="0" collapsed="false">
      <c r="A95" s="0" t="s">
        <v>181</v>
      </c>
    </row>
    <row r="96" customFormat="false" ht="15" hidden="false" customHeight="false" outlineLevel="0" collapsed="false">
      <c r="A96" s="0" t="s">
        <v>182</v>
      </c>
    </row>
    <row r="97" customFormat="false" ht="15" hidden="false" customHeight="false" outlineLevel="0" collapsed="false">
      <c r="A97" s="0" t="s">
        <v>183</v>
      </c>
    </row>
    <row r="98" customFormat="false" ht="15" hidden="false" customHeight="false" outlineLevel="0" collapsed="false">
      <c r="A98" s="0" t="s">
        <v>184</v>
      </c>
    </row>
    <row r="99" customFormat="false" ht="15" hidden="false" customHeight="false" outlineLevel="0" collapsed="false">
      <c r="A99" s="0" t="s">
        <v>185</v>
      </c>
    </row>
    <row r="100" customFormat="false" ht="15" hidden="false" customHeight="false" outlineLevel="0" collapsed="false">
      <c r="A100" s="0" t="s">
        <v>186</v>
      </c>
    </row>
    <row r="101" customFormat="false" ht="15" hidden="false" customHeight="false" outlineLevel="0" collapsed="false">
      <c r="A101" s="0" t="s">
        <v>187</v>
      </c>
    </row>
    <row r="102" customFormat="false" ht="15" hidden="false" customHeight="false" outlineLevel="0" collapsed="false">
      <c r="A102" s="0" t="s">
        <v>188</v>
      </c>
    </row>
    <row r="103" customFormat="false" ht="15" hidden="false" customHeight="false" outlineLevel="0" collapsed="false">
      <c r="A103" s="0" t="s">
        <v>189</v>
      </c>
    </row>
    <row r="104" customFormat="false" ht="15" hidden="false" customHeight="false" outlineLevel="0" collapsed="false">
      <c r="A104" s="0" t="s">
        <v>190</v>
      </c>
    </row>
    <row r="105" customFormat="false" ht="15" hidden="false" customHeight="false" outlineLevel="0" collapsed="false">
      <c r="A105" s="0" t="s">
        <v>191</v>
      </c>
    </row>
    <row r="106" customFormat="false" ht="15" hidden="false" customHeight="false" outlineLevel="0" collapsed="false">
      <c r="A106" s="0" t="s">
        <v>192</v>
      </c>
    </row>
    <row r="107" customFormat="false" ht="15" hidden="false" customHeight="false" outlineLevel="0" collapsed="false">
      <c r="A107" s="0" t="s">
        <v>193</v>
      </c>
    </row>
    <row r="108" customFormat="false" ht="15" hidden="false" customHeight="false" outlineLevel="0" collapsed="false">
      <c r="A108" s="0" t="s">
        <v>194</v>
      </c>
    </row>
    <row r="109" customFormat="false" ht="15" hidden="false" customHeight="false" outlineLevel="0" collapsed="false">
      <c r="A109" s="0" t="s">
        <v>195</v>
      </c>
    </row>
    <row r="110" customFormat="false" ht="15" hidden="false" customHeight="false" outlineLevel="0" collapsed="false">
      <c r="A110" s="0" t="s">
        <v>196</v>
      </c>
    </row>
    <row r="111" customFormat="false" ht="15" hidden="false" customHeight="false" outlineLevel="0" collapsed="false">
      <c r="A111" s="0" t="s">
        <v>197</v>
      </c>
    </row>
    <row r="112" customFormat="false" ht="15" hidden="false" customHeight="false" outlineLevel="0" collapsed="false">
      <c r="A112" s="0" t="s">
        <v>198</v>
      </c>
    </row>
    <row r="113" customFormat="false" ht="15" hidden="false" customHeight="false" outlineLevel="0" collapsed="false">
      <c r="A113" s="0" t="s">
        <v>199</v>
      </c>
    </row>
    <row r="114" customFormat="false" ht="15" hidden="false" customHeight="false" outlineLevel="0" collapsed="false">
      <c r="A114" s="0" t="s">
        <v>200</v>
      </c>
    </row>
    <row r="115" customFormat="false" ht="15" hidden="false" customHeight="false" outlineLevel="0" collapsed="false">
      <c r="A115" s="0" t="s">
        <v>201</v>
      </c>
    </row>
    <row r="116" customFormat="false" ht="15" hidden="false" customHeight="false" outlineLevel="0" collapsed="false">
      <c r="A116" s="0" t="s">
        <v>202</v>
      </c>
    </row>
    <row r="117" customFormat="false" ht="15" hidden="false" customHeight="false" outlineLevel="0" collapsed="false">
      <c r="A117" s="0" t="s">
        <v>203</v>
      </c>
    </row>
    <row r="118" customFormat="false" ht="15" hidden="false" customHeight="false" outlineLevel="0" collapsed="false">
      <c r="A118" s="0" t="s">
        <v>204</v>
      </c>
    </row>
    <row r="119" customFormat="false" ht="15" hidden="false" customHeight="false" outlineLevel="0" collapsed="false">
      <c r="A119" s="0" t="s">
        <v>205</v>
      </c>
    </row>
    <row r="120" customFormat="false" ht="15" hidden="false" customHeight="false" outlineLevel="0" collapsed="false">
      <c r="A120" s="0" t="s">
        <v>206</v>
      </c>
    </row>
    <row r="121" customFormat="false" ht="15" hidden="false" customHeight="false" outlineLevel="0" collapsed="false">
      <c r="A121" s="0" t="s">
        <v>207</v>
      </c>
    </row>
    <row r="122" customFormat="false" ht="15" hidden="false" customHeight="false" outlineLevel="0" collapsed="false">
      <c r="A122" s="0" t="s">
        <v>208</v>
      </c>
    </row>
    <row r="123" customFormat="false" ht="15" hidden="false" customHeight="false" outlineLevel="0" collapsed="false">
      <c r="A123" s="0" t="s">
        <v>209</v>
      </c>
    </row>
    <row r="124" customFormat="false" ht="15" hidden="false" customHeight="false" outlineLevel="0" collapsed="false">
      <c r="A124" s="0" t="s">
        <v>210</v>
      </c>
    </row>
    <row r="125" customFormat="false" ht="15" hidden="false" customHeight="false" outlineLevel="0" collapsed="false">
      <c r="A125" s="0" t="s">
        <v>211</v>
      </c>
    </row>
    <row r="126" customFormat="false" ht="15" hidden="false" customHeight="false" outlineLevel="0" collapsed="false">
      <c r="A126" s="0" t="s">
        <v>212</v>
      </c>
    </row>
    <row r="127" customFormat="false" ht="15" hidden="false" customHeight="false" outlineLevel="0" collapsed="false">
      <c r="A127" s="0" t="s">
        <v>213</v>
      </c>
    </row>
    <row r="128" customFormat="false" ht="15" hidden="false" customHeight="false" outlineLevel="0" collapsed="false">
      <c r="A128" s="0" t="s">
        <v>214</v>
      </c>
    </row>
    <row r="129" customFormat="false" ht="15" hidden="false" customHeight="false" outlineLevel="0" collapsed="false">
      <c r="A129" s="0" t="s">
        <v>215</v>
      </c>
    </row>
    <row r="130" customFormat="false" ht="15" hidden="false" customHeight="false" outlineLevel="0" collapsed="false">
      <c r="A130" s="0" t="s">
        <v>216</v>
      </c>
    </row>
    <row r="131" customFormat="false" ht="15" hidden="false" customHeight="false" outlineLevel="0" collapsed="false">
      <c r="A131" s="0" t="s">
        <v>217</v>
      </c>
    </row>
    <row r="132" customFormat="false" ht="15" hidden="false" customHeight="false" outlineLevel="0" collapsed="false">
      <c r="A132" s="0" t="s">
        <v>218</v>
      </c>
    </row>
    <row r="133" customFormat="false" ht="15" hidden="false" customHeight="false" outlineLevel="0" collapsed="false">
      <c r="A133" s="0" t="s">
        <v>219</v>
      </c>
    </row>
    <row r="134" customFormat="false" ht="15" hidden="false" customHeight="false" outlineLevel="0" collapsed="false">
      <c r="A134" s="0" t="s">
        <v>220</v>
      </c>
    </row>
    <row r="135" customFormat="false" ht="15" hidden="false" customHeight="false" outlineLevel="0" collapsed="false">
      <c r="A135" s="0" t="s">
        <v>221</v>
      </c>
    </row>
    <row r="136" customFormat="false" ht="15" hidden="false" customHeight="false" outlineLevel="0" collapsed="false">
      <c r="A136" s="0" t="s">
        <v>222</v>
      </c>
    </row>
    <row r="137" customFormat="false" ht="15" hidden="false" customHeight="false" outlineLevel="0" collapsed="false">
      <c r="A137" s="0" t="s">
        <v>223</v>
      </c>
    </row>
    <row r="138" customFormat="false" ht="15" hidden="false" customHeight="false" outlineLevel="0" collapsed="false">
      <c r="A138" s="0" t="s">
        <v>224</v>
      </c>
    </row>
    <row r="139" customFormat="false" ht="15" hidden="false" customHeight="false" outlineLevel="0" collapsed="false">
      <c r="A139" s="0" t="s">
        <v>225</v>
      </c>
    </row>
    <row r="140" customFormat="false" ht="15" hidden="false" customHeight="false" outlineLevel="0" collapsed="false">
      <c r="A140" s="0" t="s">
        <v>226</v>
      </c>
    </row>
    <row r="141" customFormat="false" ht="15" hidden="false" customHeight="false" outlineLevel="0" collapsed="false">
      <c r="A141" s="0" t="s">
        <v>227</v>
      </c>
    </row>
    <row r="142" customFormat="false" ht="15" hidden="false" customHeight="false" outlineLevel="0" collapsed="false">
      <c r="A142" s="0" t="s">
        <v>228</v>
      </c>
    </row>
    <row r="143" customFormat="false" ht="15" hidden="false" customHeight="false" outlineLevel="0" collapsed="false">
      <c r="A143" s="0" t="s">
        <v>229</v>
      </c>
    </row>
    <row r="144" customFormat="false" ht="15" hidden="false" customHeight="false" outlineLevel="0" collapsed="false">
      <c r="A144" s="0" t="s">
        <v>230</v>
      </c>
    </row>
    <row r="145" customFormat="false" ht="15" hidden="false" customHeight="false" outlineLevel="0" collapsed="false">
      <c r="A145" s="0" t="s">
        <v>231</v>
      </c>
    </row>
    <row r="146" customFormat="false" ht="15" hidden="false" customHeight="false" outlineLevel="0" collapsed="false">
      <c r="A146" s="0" t="s">
        <v>232</v>
      </c>
    </row>
    <row r="147" customFormat="false" ht="15" hidden="false" customHeight="false" outlineLevel="0" collapsed="false">
      <c r="A147" s="0" t="s">
        <v>233</v>
      </c>
    </row>
    <row r="148" customFormat="false" ht="15" hidden="false" customHeight="false" outlineLevel="0" collapsed="false">
      <c r="A148" s="0" t="s">
        <v>234</v>
      </c>
    </row>
    <row r="149" customFormat="false" ht="15" hidden="false" customHeight="false" outlineLevel="0" collapsed="false">
      <c r="A149" s="0" t="s">
        <v>235</v>
      </c>
    </row>
    <row r="150" customFormat="false" ht="15" hidden="false" customHeight="false" outlineLevel="0" collapsed="false">
      <c r="A150" s="0" t="s">
        <v>236</v>
      </c>
    </row>
    <row r="151" customFormat="false" ht="15" hidden="false" customHeight="false" outlineLevel="0" collapsed="false">
      <c r="A151" s="0" t="s">
        <v>237</v>
      </c>
    </row>
    <row r="152" customFormat="false" ht="15" hidden="false" customHeight="false" outlineLevel="0" collapsed="false">
      <c r="A152" s="0" t="s">
        <v>238</v>
      </c>
    </row>
    <row r="153" customFormat="false" ht="15" hidden="false" customHeight="false" outlineLevel="0" collapsed="false">
      <c r="A153" s="0" t="s">
        <v>239</v>
      </c>
    </row>
    <row r="154" customFormat="false" ht="15" hidden="false" customHeight="false" outlineLevel="0" collapsed="false">
      <c r="A154" s="0" t="s">
        <v>240</v>
      </c>
    </row>
    <row r="155" customFormat="false" ht="15" hidden="false" customHeight="false" outlineLevel="0" collapsed="false">
      <c r="A155" s="0" t="s">
        <v>241</v>
      </c>
    </row>
    <row r="156" customFormat="false" ht="15" hidden="false" customHeight="false" outlineLevel="0" collapsed="false">
      <c r="A156" s="0" t="s">
        <v>242</v>
      </c>
    </row>
    <row r="157" customFormat="false" ht="15" hidden="false" customHeight="false" outlineLevel="0" collapsed="false">
      <c r="A157" s="0" t="s">
        <v>243</v>
      </c>
    </row>
    <row r="158" customFormat="false" ht="15" hidden="false" customHeight="false" outlineLevel="0" collapsed="false">
      <c r="A158" s="0" t="s">
        <v>244</v>
      </c>
    </row>
    <row r="159" customFormat="false" ht="15" hidden="false" customHeight="false" outlineLevel="0" collapsed="false">
      <c r="A159" s="0" t="s">
        <v>245</v>
      </c>
    </row>
    <row r="160" customFormat="false" ht="15" hidden="false" customHeight="false" outlineLevel="0" collapsed="false">
      <c r="A160" s="0" t="s">
        <v>246</v>
      </c>
    </row>
    <row r="161" customFormat="false" ht="15" hidden="false" customHeight="false" outlineLevel="0" collapsed="false">
      <c r="A161" s="0" t="s">
        <v>247</v>
      </c>
    </row>
    <row r="162" customFormat="false" ht="15" hidden="false" customHeight="false" outlineLevel="0" collapsed="false">
      <c r="A162" s="0" t="s">
        <v>248</v>
      </c>
    </row>
    <row r="163" customFormat="false" ht="15" hidden="false" customHeight="false" outlineLevel="0" collapsed="false">
      <c r="A163" s="0" t="s">
        <v>249</v>
      </c>
    </row>
    <row r="164" customFormat="false" ht="15" hidden="false" customHeight="false" outlineLevel="0" collapsed="false">
      <c r="A164" s="0" t="s">
        <v>250</v>
      </c>
    </row>
    <row r="165" customFormat="false" ht="15" hidden="false" customHeight="false" outlineLevel="0" collapsed="false">
      <c r="A165" s="0" t="s">
        <v>251</v>
      </c>
    </row>
    <row r="166" customFormat="false" ht="15" hidden="false" customHeight="false" outlineLevel="0" collapsed="false">
      <c r="A166" s="0" t="s">
        <v>252</v>
      </c>
    </row>
    <row r="167" customFormat="false" ht="15" hidden="false" customHeight="false" outlineLevel="0" collapsed="false">
      <c r="A167" s="0" t="s">
        <v>253</v>
      </c>
    </row>
    <row r="168" customFormat="false" ht="15" hidden="false" customHeight="false" outlineLevel="0" collapsed="false">
      <c r="A168" s="0" t="s">
        <v>254</v>
      </c>
    </row>
    <row r="169" customFormat="false" ht="15" hidden="false" customHeight="false" outlineLevel="0" collapsed="false">
      <c r="A169" s="0" t="s">
        <v>255</v>
      </c>
    </row>
    <row r="170" customFormat="false" ht="15" hidden="false" customHeight="false" outlineLevel="0" collapsed="false">
      <c r="A170" s="0" t="s">
        <v>256</v>
      </c>
    </row>
    <row r="171" customFormat="false" ht="15" hidden="false" customHeight="false" outlineLevel="0" collapsed="false">
      <c r="A171" s="0" t="s">
        <v>257</v>
      </c>
    </row>
    <row r="172" customFormat="false" ht="15" hidden="false" customHeight="false" outlineLevel="0" collapsed="false">
      <c r="A172" s="0" t="s">
        <v>258</v>
      </c>
    </row>
    <row r="173" customFormat="false" ht="15" hidden="false" customHeight="false" outlineLevel="0" collapsed="false">
      <c r="A173" s="0" t="s">
        <v>259</v>
      </c>
    </row>
    <row r="174" customFormat="false" ht="15" hidden="false" customHeight="false" outlineLevel="0" collapsed="false">
      <c r="A174" s="0" t="s">
        <v>260</v>
      </c>
    </row>
    <row r="175" customFormat="false" ht="15" hidden="false" customHeight="false" outlineLevel="0" collapsed="false">
      <c r="A175" s="0" t="s">
        <v>261</v>
      </c>
    </row>
    <row r="176" customFormat="false" ht="15" hidden="false" customHeight="false" outlineLevel="0" collapsed="false">
      <c r="A176" s="0" t="s">
        <v>262</v>
      </c>
    </row>
    <row r="177" customFormat="false" ht="15" hidden="false" customHeight="false" outlineLevel="0" collapsed="false">
      <c r="A177" s="0" t="s">
        <v>263</v>
      </c>
    </row>
    <row r="178" customFormat="false" ht="15" hidden="false" customHeight="false" outlineLevel="0" collapsed="false">
      <c r="A178" s="0" t="s">
        <v>264</v>
      </c>
    </row>
    <row r="179" customFormat="false" ht="15" hidden="false" customHeight="false" outlineLevel="0" collapsed="false">
      <c r="A179" s="0" t="s">
        <v>265</v>
      </c>
    </row>
    <row r="180" customFormat="false" ht="15" hidden="false" customHeight="false" outlineLevel="0" collapsed="false">
      <c r="A180" s="0" t="s">
        <v>266</v>
      </c>
    </row>
    <row r="181" customFormat="false" ht="15" hidden="false" customHeight="false" outlineLevel="0" collapsed="false">
      <c r="A181" s="0" t="s">
        <v>267</v>
      </c>
    </row>
    <row r="182" customFormat="false" ht="15" hidden="false" customHeight="false" outlineLevel="0" collapsed="false">
      <c r="A182" s="0" t="s">
        <v>268</v>
      </c>
    </row>
    <row r="183" customFormat="false" ht="15" hidden="false" customHeight="false" outlineLevel="0" collapsed="false">
      <c r="A183" s="0" t="s">
        <v>269</v>
      </c>
    </row>
    <row r="184" customFormat="false" ht="15" hidden="false" customHeight="false" outlineLevel="0" collapsed="false">
      <c r="A184" s="0" t="s">
        <v>270</v>
      </c>
    </row>
    <row r="185" customFormat="false" ht="15" hidden="false" customHeight="false" outlineLevel="0" collapsed="false">
      <c r="A185" s="0" t="s">
        <v>271</v>
      </c>
    </row>
    <row r="186" customFormat="false" ht="15" hidden="false" customHeight="false" outlineLevel="0" collapsed="false">
      <c r="A186" s="0" t="s">
        <v>272</v>
      </c>
    </row>
    <row r="187" customFormat="false" ht="15" hidden="false" customHeight="false" outlineLevel="0" collapsed="false">
      <c r="A187" s="0" t="s">
        <v>273</v>
      </c>
    </row>
    <row r="188" customFormat="false" ht="15" hidden="false" customHeight="false" outlineLevel="0" collapsed="false">
      <c r="A188" s="0" t="s">
        <v>274</v>
      </c>
    </row>
    <row r="189" customFormat="false" ht="15" hidden="false" customHeight="false" outlineLevel="0" collapsed="false">
      <c r="A189" s="0" t="s">
        <v>275</v>
      </c>
    </row>
    <row r="190" customFormat="false" ht="15" hidden="false" customHeight="false" outlineLevel="0" collapsed="false">
      <c r="A190" s="0" t="s">
        <v>276</v>
      </c>
    </row>
    <row r="191" customFormat="false" ht="15" hidden="false" customHeight="false" outlineLevel="0" collapsed="false">
      <c r="A191" s="0" t="s">
        <v>277</v>
      </c>
    </row>
    <row r="192" customFormat="false" ht="15" hidden="false" customHeight="false" outlineLevel="0" collapsed="false">
      <c r="A192" s="0" t="s">
        <v>278</v>
      </c>
    </row>
    <row r="193" customFormat="false" ht="15" hidden="false" customHeight="false" outlineLevel="0" collapsed="false">
      <c r="A193" s="0" t="s">
        <v>279</v>
      </c>
    </row>
    <row r="194" customFormat="false" ht="15" hidden="false" customHeight="false" outlineLevel="0" collapsed="false">
      <c r="A194" s="0" t="s">
        <v>280</v>
      </c>
    </row>
    <row r="195" customFormat="false" ht="15" hidden="false" customHeight="false" outlineLevel="0" collapsed="false">
      <c r="A195" s="0" t="s">
        <v>281</v>
      </c>
    </row>
    <row r="196" customFormat="false" ht="15" hidden="false" customHeight="false" outlineLevel="0" collapsed="false">
      <c r="A196" s="0" t="s">
        <v>282</v>
      </c>
    </row>
    <row r="197" customFormat="false" ht="15" hidden="false" customHeight="false" outlineLevel="0" collapsed="false">
      <c r="A197" s="0" t="s">
        <v>283</v>
      </c>
    </row>
    <row r="198" customFormat="false" ht="15" hidden="false" customHeight="false" outlineLevel="0" collapsed="false">
      <c r="A198" s="0" t="s">
        <v>284</v>
      </c>
    </row>
    <row r="199" customFormat="false" ht="15" hidden="false" customHeight="false" outlineLevel="0" collapsed="false">
      <c r="A199" s="0" t="s">
        <v>285</v>
      </c>
    </row>
    <row r="200" customFormat="false" ht="15" hidden="false" customHeight="false" outlineLevel="0" collapsed="false">
      <c r="A200" s="0" t="s">
        <v>286</v>
      </c>
    </row>
    <row r="201" customFormat="false" ht="15" hidden="false" customHeight="false" outlineLevel="0" collapsed="false">
      <c r="A201" s="0" t="s">
        <v>287</v>
      </c>
    </row>
    <row r="202" customFormat="false" ht="15" hidden="false" customHeight="false" outlineLevel="0" collapsed="false">
      <c r="A202" s="0" t="s">
        <v>288</v>
      </c>
    </row>
    <row r="203" customFormat="false" ht="15" hidden="false" customHeight="false" outlineLevel="0" collapsed="false">
      <c r="A203" s="0" t="s">
        <v>289</v>
      </c>
    </row>
    <row r="204" customFormat="false" ht="15" hidden="false" customHeight="false" outlineLevel="0" collapsed="false">
      <c r="A204" s="0" t="s">
        <v>290</v>
      </c>
    </row>
    <row r="205" customFormat="false" ht="15" hidden="false" customHeight="false" outlineLevel="0" collapsed="false">
      <c r="A205" s="0" t="s">
        <v>291</v>
      </c>
    </row>
    <row r="206" customFormat="false" ht="15" hidden="false" customHeight="false" outlineLevel="0" collapsed="false">
      <c r="A206" s="0" t="s">
        <v>292</v>
      </c>
    </row>
    <row r="207" customFormat="false" ht="15" hidden="false" customHeight="false" outlineLevel="0" collapsed="false">
      <c r="A207" s="0" t="s">
        <v>293</v>
      </c>
    </row>
    <row r="208" customFormat="false" ht="15" hidden="false" customHeight="false" outlineLevel="0" collapsed="false">
      <c r="A208" s="0" t="s">
        <v>294</v>
      </c>
    </row>
    <row r="209" customFormat="false" ht="15" hidden="false" customHeight="false" outlineLevel="0" collapsed="false">
      <c r="A209" s="0" t="s">
        <v>295</v>
      </c>
    </row>
    <row r="210" customFormat="false" ht="15" hidden="false" customHeight="false" outlineLevel="0" collapsed="false">
      <c r="A210" s="0" t="s">
        <v>296</v>
      </c>
    </row>
    <row r="211" customFormat="false" ht="15" hidden="false" customHeight="false" outlineLevel="0" collapsed="false">
      <c r="A211" s="0" t="s">
        <v>297</v>
      </c>
    </row>
    <row r="212" customFormat="false" ht="15" hidden="false" customHeight="false" outlineLevel="0" collapsed="false">
      <c r="A212" s="0" t="s">
        <v>298</v>
      </c>
    </row>
    <row r="213" customFormat="false" ht="15" hidden="false" customHeight="false" outlineLevel="0" collapsed="false">
      <c r="A213" s="0" t="s">
        <v>299</v>
      </c>
    </row>
    <row r="214" customFormat="false" ht="15" hidden="false" customHeight="false" outlineLevel="0" collapsed="false">
      <c r="A214" s="0" t="s">
        <v>300</v>
      </c>
    </row>
    <row r="215" customFormat="false" ht="15" hidden="false" customHeight="false" outlineLevel="0" collapsed="false">
      <c r="A215" s="0" t="s">
        <v>301</v>
      </c>
    </row>
    <row r="216" customFormat="false" ht="15" hidden="false" customHeight="false" outlineLevel="0" collapsed="false">
      <c r="A216" s="0" t="s">
        <v>302</v>
      </c>
    </row>
    <row r="217" customFormat="false" ht="15" hidden="false" customHeight="false" outlineLevel="0" collapsed="false">
      <c r="A217" s="0" t="s">
        <v>303</v>
      </c>
    </row>
    <row r="218" customFormat="false" ht="15" hidden="false" customHeight="false" outlineLevel="0" collapsed="false">
      <c r="A218" s="0" t="s">
        <v>304</v>
      </c>
    </row>
    <row r="219" customFormat="false" ht="15" hidden="false" customHeight="false" outlineLevel="0" collapsed="false">
      <c r="A219" s="0" t="s">
        <v>305</v>
      </c>
    </row>
    <row r="220" customFormat="false" ht="15" hidden="false" customHeight="false" outlineLevel="0" collapsed="false">
      <c r="A220" s="0" t="s">
        <v>306</v>
      </c>
    </row>
    <row r="221" customFormat="false" ht="15" hidden="false" customHeight="false" outlineLevel="0" collapsed="false">
      <c r="A221" s="0" t="s">
        <v>307</v>
      </c>
    </row>
    <row r="222" customFormat="false" ht="15" hidden="false" customHeight="false" outlineLevel="0" collapsed="false">
      <c r="A222" s="0" t="s">
        <v>308</v>
      </c>
    </row>
    <row r="223" customFormat="false" ht="15" hidden="false" customHeight="false" outlineLevel="0" collapsed="false">
      <c r="A223" s="0" t="s">
        <v>309</v>
      </c>
    </row>
    <row r="224" customFormat="false" ht="15" hidden="false" customHeight="false" outlineLevel="0" collapsed="false">
      <c r="A224" s="0" t="s">
        <v>310</v>
      </c>
    </row>
    <row r="225" customFormat="false" ht="15" hidden="false" customHeight="false" outlineLevel="0" collapsed="false">
      <c r="A225" s="0" t="s">
        <v>311</v>
      </c>
    </row>
    <row r="226" customFormat="false" ht="15" hidden="false" customHeight="false" outlineLevel="0" collapsed="false">
      <c r="A226" s="0" t="s">
        <v>312</v>
      </c>
    </row>
    <row r="227" customFormat="false" ht="15" hidden="false" customHeight="false" outlineLevel="0" collapsed="false">
      <c r="A227" s="0" t="s">
        <v>313</v>
      </c>
    </row>
    <row r="228" customFormat="false" ht="15" hidden="false" customHeight="false" outlineLevel="0" collapsed="false">
      <c r="A228" s="0" t="s">
        <v>314</v>
      </c>
    </row>
    <row r="229" customFormat="false" ht="15" hidden="false" customHeight="false" outlineLevel="0" collapsed="false">
      <c r="A229" s="0" t="s">
        <v>315</v>
      </c>
    </row>
    <row r="230" customFormat="false" ht="15" hidden="false" customHeight="false" outlineLevel="0" collapsed="false">
      <c r="A230" s="0" t="s">
        <v>316</v>
      </c>
    </row>
    <row r="231" customFormat="false" ht="15" hidden="false" customHeight="false" outlineLevel="0" collapsed="false">
      <c r="A231" s="0" t="s">
        <v>317</v>
      </c>
    </row>
    <row r="232" customFormat="false" ht="15" hidden="false" customHeight="false" outlineLevel="0" collapsed="false">
      <c r="A232" s="0" t="s">
        <v>318</v>
      </c>
    </row>
    <row r="233" customFormat="false" ht="15" hidden="false" customHeight="false" outlineLevel="0" collapsed="false">
      <c r="A233" s="0" t="s">
        <v>319</v>
      </c>
    </row>
    <row r="234" customFormat="false" ht="15" hidden="false" customHeight="false" outlineLevel="0" collapsed="false">
      <c r="A234" s="0" t="s">
        <v>320</v>
      </c>
    </row>
    <row r="235" customFormat="false" ht="15" hidden="false" customHeight="false" outlineLevel="0" collapsed="false">
      <c r="A235" s="0" t="s">
        <v>321</v>
      </c>
    </row>
    <row r="236" customFormat="false" ht="15" hidden="false" customHeight="false" outlineLevel="0" collapsed="false">
      <c r="A236" s="0" t="s">
        <v>322</v>
      </c>
    </row>
    <row r="237" customFormat="false" ht="15" hidden="false" customHeight="false" outlineLevel="0" collapsed="false">
      <c r="A237" s="0" t="s">
        <v>323</v>
      </c>
    </row>
    <row r="238" customFormat="false" ht="15" hidden="false" customHeight="false" outlineLevel="0" collapsed="false">
      <c r="A238" s="0" t="s">
        <v>324</v>
      </c>
    </row>
    <row r="239" customFormat="false" ht="15" hidden="false" customHeight="false" outlineLevel="0" collapsed="false">
      <c r="A239" s="0" t="s">
        <v>325</v>
      </c>
    </row>
    <row r="240" customFormat="false" ht="15" hidden="false" customHeight="false" outlineLevel="0" collapsed="false">
      <c r="A240" s="0" t="s">
        <v>326</v>
      </c>
    </row>
    <row r="241" customFormat="false" ht="15" hidden="false" customHeight="false" outlineLevel="0" collapsed="false">
      <c r="A241" s="0" t="s">
        <v>327</v>
      </c>
    </row>
    <row r="242" customFormat="false" ht="15" hidden="false" customHeight="false" outlineLevel="0" collapsed="false">
      <c r="A242" s="0" t="s">
        <v>328</v>
      </c>
    </row>
    <row r="243" customFormat="false" ht="15" hidden="false" customHeight="false" outlineLevel="0" collapsed="false">
      <c r="A243" s="0" t="s">
        <v>329</v>
      </c>
    </row>
    <row r="244" customFormat="false" ht="15" hidden="false" customHeight="false" outlineLevel="0" collapsed="false">
      <c r="A244" s="0" t="s">
        <v>330</v>
      </c>
    </row>
    <row r="245" customFormat="false" ht="15" hidden="false" customHeight="false" outlineLevel="0" collapsed="false">
      <c r="A245" s="0" t="s">
        <v>331</v>
      </c>
    </row>
    <row r="246" customFormat="false" ht="15" hidden="false" customHeight="false" outlineLevel="0" collapsed="false">
      <c r="A246" s="0" t="s">
        <v>332</v>
      </c>
    </row>
    <row r="247" customFormat="false" ht="15" hidden="false" customHeight="false" outlineLevel="0" collapsed="false">
      <c r="A247" s="0" t="s">
        <v>333</v>
      </c>
    </row>
    <row r="248" customFormat="false" ht="15" hidden="false" customHeight="false" outlineLevel="0" collapsed="false">
      <c r="A248" s="0" t="s">
        <v>334</v>
      </c>
    </row>
    <row r="249" customFormat="false" ht="15" hidden="false" customHeight="false" outlineLevel="0" collapsed="false">
      <c r="A249" s="0" t="s">
        <v>335</v>
      </c>
    </row>
    <row r="250" customFormat="false" ht="15" hidden="false" customHeight="false" outlineLevel="0" collapsed="false">
      <c r="A250" s="0" t="s">
        <v>336</v>
      </c>
    </row>
    <row r="251" customFormat="false" ht="15" hidden="false" customHeight="false" outlineLevel="0" collapsed="false">
      <c r="A251" s="0" t="s">
        <v>337</v>
      </c>
    </row>
    <row r="252" customFormat="false" ht="15" hidden="false" customHeight="false" outlineLevel="0" collapsed="false">
      <c r="A252" s="0" t="s">
        <v>338</v>
      </c>
    </row>
    <row r="253" customFormat="false" ht="15" hidden="false" customHeight="false" outlineLevel="0" collapsed="false">
      <c r="A253" s="0" t="s">
        <v>339</v>
      </c>
    </row>
    <row r="254" customFormat="false" ht="15" hidden="false" customHeight="false" outlineLevel="0" collapsed="false">
      <c r="A254" s="0" t="s">
        <v>340</v>
      </c>
    </row>
    <row r="255" customFormat="false" ht="15" hidden="false" customHeight="false" outlineLevel="0" collapsed="false">
      <c r="A255" s="0" t="s">
        <v>341</v>
      </c>
    </row>
    <row r="256" customFormat="false" ht="15" hidden="false" customHeight="false" outlineLevel="0" collapsed="false">
      <c r="A256" s="0" t="s">
        <v>342</v>
      </c>
    </row>
    <row r="257" customFormat="false" ht="15" hidden="false" customHeight="false" outlineLevel="0" collapsed="false">
      <c r="A257" s="0" t="s">
        <v>343</v>
      </c>
    </row>
    <row r="258" customFormat="false" ht="15" hidden="false" customHeight="false" outlineLevel="0" collapsed="false">
      <c r="A258" s="0" t="s">
        <v>344</v>
      </c>
    </row>
    <row r="259" customFormat="false" ht="15" hidden="false" customHeight="false" outlineLevel="0" collapsed="false">
      <c r="A259" s="0" t="s">
        <v>345</v>
      </c>
    </row>
    <row r="260" customFormat="false" ht="15" hidden="false" customHeight="false" outlineLevel="0" collapsed="false">
      <c r="A260" s="0" t="s">
        <v>346</v>
      </c>
    </row>
    <row r="261" customFormat="false" ht="15" hidden="false" customHeight="false" outlineLevel="0" collapsed="false">
      <c r="A261" s="0" t="s">
        <v>347</v>
      </c>
    </row>
    <row r="262" customFormat="false" ht="15" hidden="false" customHeight="false" outlineLevel="0" collapsed="false">
      <c r="A262" s="0" t="s">
        <v>348</v>
      </c>
    </row>
    <row r="263" customFormat="false" ht="15" hidden="false" customHeight="false" outlineLevel="0" collapsed="false">
      <c r="A263" s="0" t="s">
        <v>349</v>
      </c>
    </row>
    <row r="264" customFormat="false" ht="15" hidden="false" customHeight="false" outlineLevel="0" collapsed="false">
      <c r="A264" s="0" t="s">
        <v>350</v>
      </c>
    </row>
    <row r="265" customFormat="false" ht="15" hidden="false" customHeight="false" outlineLevel="0" collapsed="false">
      <c r="A265" s="0" t="s">
        <v>351</v>
      </c>
    </row>
    <row r="266" customFormat="false" ht="15" hidden="false" customHeight="false" outlineLevel="0" collapsed="false">
      <c r="A266" s="0" t="s">
        <v>352</v>
      </c>
    </row>
    <row r="267" customFormat="false" ht="15" hidden="false" customHeight="false" outlineLevel="0" collapsed="false">
      <c r="A267" s="0" t="s">
        <v>353</v>
      </c>
    </row>
    <row r="268" customFormat="false" ht="15" hidden="false" customHeight="false" outlineLevel="0" collapsed="false">
      <c r="A268" s="0" t="s">
        <v>354</v>
      </c>
    </row>
    <row r="269" customFormat="false" ht="15" hidden="false" customHeight="false" outlineLevel="0" collapsed="false">
      <c r="A269" s="0" t="s">
        <v>355</v>
      </c>
    </row>
    <row r="270" customFormat="false" ht="15" hidden="false" customHeight="false" outlineLevel="0" collapsed="false">
      <c r="A270" s="0" t="s">
        <v>356</v>
      </c>
    </row>
    <row r="271" customFormat="false" ht="15" hidden="false" customHeight="false" outlineLevel="0" collapsed="false">
      <c r="A271" s="0" t="s">
        <v>357</v>
      </c>
    </row>
    <row r="272" customFormat="false" ht="15" hidden="false" customHeight="false" outlineLevel="0" collapsed="false">
      <c r="A272" s="0" t="s">
        <v>358</v>
      </c>
    </row>
    <row r="273" customFormat="false" ht="15" hidden="false" customHeight="false" outlineLevel="0" collapsed="false">
      <c r="A273" s="0" t="s">
        <v>359</v>
      </c>
    </row>
    <row r="274" customFormat="false" ht="15" hidden="false" customHeight="false" outlineLevel="0" collapsed="false">
      <c r="A274" s="0" t="s">
        <v>360</v>
      </c>
    </row>
    <row r="275" customFormat="false" ht="15" hidden="false" customHeight="false" outlineLevel="0" collapsed="false">
      <c r="A275" s="0" t="s">
        <v>361</v>
      </c>
    </row>
    <row r="276" customFormat="false" ht="15" hidden="false" customHeight="false" outlineLevel="0" collapsed="false">
      <c r="A276" s="0" t="s">
        <v>362</v>
      </c>
    </row>
    <row r="277" customFormat="false" ht="15" hidden="false" customHeight="false" outlineLevel="0" collapsed="false">
      <c r="A277" s="0" t="s">
        <v>363</v>
      </c>
    </row>
    <row r="278" customFormat="false" ht="15" hidden="false" customHeight="false" outlineLevel="0" collapsed="false">
      <c r="A278" s="0" t="s">
        <v>364</v>
      </c>
    </row>
    <row r="279" customFormat="false" ht="15" hidden="false" customHeight="false" outlineLevel="0" collapsed="false">
      <c r="A279" s="0" t="s">
        <v>365</v>
      </c>
    </row>
    <row r="280" customFormat="false" ht="15" hidden="false" customHeight="false" outlineLevel="0" collapsed="false">
      <c r="A280" s="0" t="s">
        <v>366</v>
      </c>
    </row>
    <row r="281" customFormat="false" ht="15" hidden="false" customHeight="false" outlineLevel="0" collapsed="false">
      <c r="A281" s="0" t="s">
        <v>367</v>
      </c>
    </row>
    <row r="282" customFormat="false" ht="15" hidden="false" customHeight="false" outlineLevel="0" collapsed="false">
      <c r="A282" s="0" t="s">
        <v>368</v>
      </c>
    </row>
    <row r="283" customFormat="false" ht="15" hidden="false" customHeight="false" outlineLevel="0" collapsed="false">
      <c r="A283" s="0" t="s">
        <v>369</v>
      </c>
    </row>
    <row r="284" customFormat="false" ht="15" hidden="false" customHeight="false" outlineLevel="0" collapsed="false">
      <c r="A284" s="0" t="s">
        <v>370</v>
      </c>
    </row>
    <row r="285" customFormat="false" ht="15" hidden="false" customHeight="false" outlineLevel="0" collapsed="false">
      <c r="A285" s="0" t="s">
        <v>371</v>
      </c>
    </row>
    <row r="286" customFormat="false" ht="15" hidden="false" customHeight="false" outlineLevel="0" collapsed="false">
      <c r="A286" s="0" t="s">
        <v>372</v>
      </c>
    </row>
    <row r="287" customFormat="false" ht="15" hidden="false" customHeight="false" outlineLevel="0" collapsed="false">
      <c r="A287" s="0" t="s">
        <v>373</v>
      </c>
    </row>
    <row r="288" customFormat="false" ht="15" hidden="false" customHeight="false" outlineLevel="0" collapsed="false">
      <c r="A288" s="0" t="s">
        <v>374</v>
      </c>
    </row>
    <row r="289" customFormat="false" ht="15" hidden="false" customHeight="false" outlineLevel="0" collapsed="false">
      <c r="A289" s="0" t="s">
        <v>375</v>
      </c>
    </row>
    <row r="290" customFormat="false" ht="15" hidden="false" customHeight="false" outlineLevel="0" collapsed="false">
      <c r="A290" s="0" t="s">
        <v>376</v>
      </c>
    </row>
    <row r="291" customFormat="false" ht="15" hidden="false" customHeight="false" outlineLevel="0" collapsed="false">
      <c r="A291" s="0" t="s">
        <v>377</v>
      </c>
    </row>
    <row r="292" customFormat="false" ht="15" hidden="false" customHeight="false" outlineLevel="0" collapsed="false">
      <c r="A292" s="0" t="s">
        <v>378</v>
      </c>
    </row>
    <row r="293" customFormat="false" ht="15" hidden="false" customHeight="false" outlineLevel="0" collapsed="false">
      <c r="A293" s="0" t="s">
        <v>379</v>
      </c>
    </row>
    <row r="294" customFormat="false" ht="15" hidden="false" customHeight="false" outlineLevel="0" collapsed="false">
      <c r="A294" s="0" t="s">
        <v>380</v>
      </c>
    </row>
    <row r="295" customFormat="false" ht="15" hidden="false" customHeight="false" outlineLevel="0" collapsed="false">
      <c r="A295" s="0" t="s">
        <v>381</v>
      </c>
    </row>
    <row r="296" customFormat="false" ht="15" hidden="false" customHeight="false" outlineLevel="0" collapsed="false">
      <c r="A296" s="0" t="s">
        <v>382</v>
      </c>
    </row>
    <row r="297" customFormat="false" ht="15" hidden="false" customHeight="false" outlineLevel="0" collapsed="false">
      <c r="A297" s="0" t="s">
        <v>383</v>
      </c>
    </row>
    <row r="298" customFormat="false" ht="15" hidden="false" customHeight="false" outlineLevel="0" collapsed="false">
      <c r="A298" s="0" t="s">
        <v>384</v>
      </c>
    </row>
    <row r="299" customFormat="false" ht="15" hidden="false" customHeight="false" outlineLevel="0" collapsed="false">
      <c r="A299" s="0" t="s">
        <v>385</v>
      </c>
    </row>
    <row r="300" customFormat="false" ht="15" hidden="false" customHeight="false" outlineLevel="0" collapsed="false">
      <c r="A300" s="0" t="s">
        <v>386</v>
      </c>
    </row>
    <row r="301" customFormat="false" ht="15" hidden="false" customHeight="false" outlineLevel="0" collapsed="false">
      <c r="A301" s="0" t="s">
        <v>387</v>
      </c>
    </row>
    <row r="302" customFormat="false" ht="15" hidden="false" customHeight="false" outlineLevel="0" collapsed="false">
      <c r="A302" s="0" t="s">
        <v>388</v>
      </c>
    </row>
    <row r="303" customFormat="false" ht="15" hidden="false" customHeight="false" outlineLevel="0" collapsed="false">
      <c r="A303" s="0" t="s">
        <v>389</v>
      </c>
    </row>
    <row r="304" customFormat="false" ht="15" hidden="false" customHeight="false" outlineLevel="0" collapsed="false">
      <c r="A304" s="0" t="s">
        <v>390</v>
      </c>
    </row>
    <row r="305" customFormat="false" ht="15" hidden="false" customHeight="false" outlineLevel="0" collapsed="false">
      <c r="A305" s="0" t="s">
        <v>391</v>
      </c>
    </row>
    <row r="306" customFormat="false" ht="15" hidden="false" customHeight="false" outlineLevel="0" collapsed="false">
      <c r="A306" s="0" t="s">
        <v>392</v>
      </c>
    </row>
    <row r="307" customFormat="false" ht="15" hidden="false" customHeight="false" outlineLevel="0" collapsed="false">
      <c r="A307" s="0" t="s">
        <v>393</v>
      </c>
    </row>
    <row r="308" customFormat="false" ht="15" hidden="false" customHeight="false" outlineLevel="0" collapsed="false">
      <c r="A308" s="0" t="s">
        <v>394</v>
      </c>
    </row>
    <row r="309" customFormat="false" ht="15" hidden="false" customHeight="false" outlineLevel="0" collapsed="false">
      <c r="A309" s="0" t="s">
        <v>395</v>
      </c>
    </row>
    <row r="310" customFormat="false" ht="15" hidden="false" customHeight="false" outlineLevel="0" collapsed="false">
      <c r="A310" s="0" t="s">
        <v>396</v>
      </c>
    </row>
    <row r="311" customFormat="false" ht="15" hidden="false" customHeight="false" outlineLevel="0" collapsed="false">
      <c r="A311" s="0" t="s">
        <v>397</v>
      </c>
    </row>
    <row r="312" customFormat="false" ht="15" hidden="false" customHeight="false" outlineLevel="0" collapsed="false">
      <c r="A312" s="0" t="s">
        <v>398</v>
      </c>
    </row>
    <row r="313" customFormat="false" ht="15" hidden="false" customHeight="false" outlineLevel="0" collapsed="false">
      <c r="A313" s="0" t="s">
        <v>399</v>
      </c>
    </row>
    <row r="314" customFormat="false" ht="15" hidden="false" customHeight="false" outlineLevel="0" collapsed="false">
      <c r="A314" s="0" t="s">
        <v>400</v>
      </c>
    </row>
    <row r="315" customFormat="false" ht="15" hidden="false" customHeight="false" outlineLevel="0" collapsed="false">
      <c r="A315" s="0" t="s">
        <v>401</v>
      </c>
    </row>
    <row r="316" customFormat="false" ht="15" hidden="false" customHeight="false" outlineLevel="0" collapsed="false">
      <c r="A316" s="0" t="s">
        <v>402</v>
      </c>
    </row>
    <row r="317" customFormat="false" ht="15" hidden="false" customHeight="false" outlineLevel="0" collapsed="false">
      <c r="A317" s="0" t="s">
        <v>403</v>
      </c>
    </row>
    <row r="318" customFormat="false" ht="15" hidden="false" customHeight="false" outlineLevel="0" collapsed="false">
      <c r="A318" s="0" t="s">
        <v>404</v>
      </c>
    </row>
    <row r="319" customFormat="false" ht="15" hidden="false" customHeight="false" outlineLevel="0" collapsed="false">
      <c r="A319" s="0" t="s">
        <v>405</v>
      </c>
    </row>
    <row r="320" customFormat="false" ht="15" hidden="false" customHeight="false" outlineLevel="0" collapsed="false">
      <c r="A320" s="0" t="s">
        <v>406</v>
      </c>
    </row>
    <row r="321" customFormat="false" ht="15" hidden="false" customHeight="false" outlineLevel="0" collapsed="false">
      <c r="A321" s="0" t="s">
        <v>407</v>
      </c>
    </row>
    <row r="322" customFormat="false" ht="15" hidden="false" customHeight="false" outlineLevel="0" collapsed="false">
      <c r="A322" s="0" t="s">
        <v>408</v>
      </c>
    </row>
    <row r="323" customFormat="false" ht="15" hidden="false" customHeight="false" outlineLevel="0" collapsed="false">
      <c r="A323" s="0" t="s">
        <v>409</v>
      </c>
    </row>
    <row r="324" customFormat="false" ht="15" hidden="false" customHeight="false" outlineLevel="0" collapsed="false">
      <c r="A324" s="0" t="s">
        <v>410</v>
      </c>
    </row>
    <row r="325" customFormat="false" ht="15" hidden="false" customHeight="false" outlineLevel="0" collapsed="false">
      <c r="A325" s="0" t="s">
        <v>411</v>
      </c>
    </row>
    <row r="326" customFormat="false" ht="15" hidden="false" customHeight="false" outlineLevel="0" collapsed="false">
      <c r="A326" s="0" t="s">
        <v>412</v>
      </c>
    </row>
    <row r="327" customFormat="false" ht="15" hidden="false" customHeight="false" outlineLevel="0" collapsed="false">
      <c r="A327" s="0" t="s">
        <v>413</v>
      </c>
    </row>
    <row r="328" customFormat="false" ht="15" hidden="false" customHeight="false" outlineLevel="0" collapsed="false">
      <c r="A328" s="0" t="s">
        <v>414</v>
      </c>
    </row>
    <row r="329" customFormat="false" ht="15" hidden="false" customHeight="false" outlineLevel="0" collapsed="false">
      <c r="A329" s="0" t="s">
        <v>415</v>
      </c>
    </row>
    <row r="330" customFormat="false" ht="15" hidden="false" customHeight="false" outlineLevel="0" collapsed="false">
      <c r="A330" s="0" t="s">
        <v>416</v>
      </c>
    </row>
    <row r="331" customFormat="false" ht="15" hidden="false" customHeight="false" outlineLevel="0" collapsed="false">
      <c r="A331" s="0" t="s">
        <v>417</v>
      </c>
    </row>
    <row r="332" customFormat="false" ht="15" hidden="false" customHeight="false" outlineLevel="0" collapsed="false">
      <c r="A332" s="0" t="s">
        <v>418</v>
      </c>
    </row>
    <row r="333" customFormat="false" ht="15" hidden="false" customHeight="false" outlineLevel="0" collapsed="false">
      <c r="A333" s="0" t="s">
        <v>419</v>
      </c>
    </row>
    <row r="334" customFormat="false" ht="15" hidden="false" customHeight="false" outlineLevel="0" collapsed="false">
      <c r="A334" s="0" t="s">
        <v>420</v>
      </c>
    </row>
    <row r="335" customFormat="false" ht="15" hidden="false" customHeight="false" outlineLevel="0" collapsed="false">
      <c r="A335" s="0" t="s">
        <v>421</v>
      </c>
    </row>
    <row r="336" customFormat="false" ht="15" hidden="false" customHeight="false" outlineLevel="0" collapsed="false">
      <c r="A336" s="0" t="s">
        <v>422</v>
      </c>
    </row>
    <row r="337" customFormat="false" ht="15" hidden="false" customHeight="false" outlineLevel="0" collapsed="false">
      <c r="A337" s="0" t="s">
        <v>423</v>
      </c>
    </row>
    <row r="338" customFormat="false" ht="15" hidden="false" customHeight="false" outlineLevel="0" collapsed="false">
      <c r="A338" s="0" t="s">
        <v>424</v>
      </c>
    </row>
    <row r="339" customFormat="false" ht="15" hidden="false" customHeight="false" outlineLevel="0" collapsed="false">
      <c r="A339" s="0" t="s">
        <v>425</v>
      </c>
    </row>
    <row r="340" customFormat="false" ht="15" hidden="false" customHeight="false" outlineLevel="0" collapsed="false">
      <c r="A340" s="0" t="s">
        <v>426</v>
      </c>
    </row>
    <row r="341" customFormat="false" ht="15" hidden="false" customHeight="false" outlineLevel="0" collapsed="false">
      <c r="A341" s="0" t="s">
        <v>427</v>
      </c>
    </row>
    <row r="342" customFormat="false" ht="15" hidden="false" customHeight="false" outlineLevel="0" collapsed="false">
      <c r="A342" s="0" t="s">
        <v>428</v>
      </c>
    </row>
    <row r="343" customFormat="false" ht="15" hidden="false" customHeight="false" outlineLevel="0" collapsed="false">
      <c r="A343" s="0" t="s">
        <v>429</v>
      </c>
    </row>
    <row r="344" customFormat="false" ht="15" hidden="false" customHeight="false" outlineLevel="0" collapsed="false">
      <c r="A344" s="0" t="s">
        <v>430</v>
      </c>
    </row>
    <row r="345" customFormat="false" ht="15" hidden="false" customHeight="false" outlineLevel="0" collapsed="false">
      <c r="A345" s="0" t="s">
        <v>431</v>
      </c>
    </row>
    <row r="346" customFormat="false" ht="15" hidden="false" customHeight="false" outlineLevel="0" collapsed="false">
      <c r="A346" s="0" t="s">
        <v>432</v>
      </c>
    </row>
    <row r="347" customFormat="false" ht="15" hidden="false" customHeight="false" outlineLevel="0" collapsed="false">
      <c r="A347" s="0" t="s">
        <v>433</v>
      </c>
    </row>
    <row r="348" customFormat="false" ht="15" hidden="false" customHeight="false" outlineLevel="0" collapsed="false">
      <c r="A348" s="0" t="s">
        <v>434</v>
      </c>
    </row>
    <row r="349" customFormat="false" ht="15" hidden="false" customHeight="false" outlineLevel="0" collapsed="false">
      <c r="A349" s="0" t="s">
        <v>435</v>
      </c>
    </row>
    <row r="350" customFormat="false" ht="15" hidden="false" customHeight="false" outlineLevel="0" collapsed="false">
      <c r="A350" s="0" t="s">
        <v>436</v>
      </c>
    </row>
    <row r="351" customFormat="false" ht="15" hidden="false" customHeight="false" outlineLevel="0" collapsed="false">
      <c r="A351" s="0" t="s">
        <v>437</v>
      </c>
    </row>
    <row r="352" customFormat="false" ht="15" hidden="false" customHeight="false" outlineLevel="0" collapsed="false">
      <c r="A352" s="0" t="s">
        <v>438</v>
      </c>
    </row>
    <row r="353" customFormat="false" ht="15" hidden="false" customHeight="false" outlineLevel="0" collapsed="false">
      <c r="A353" s="0" t="s">
        <v>439</v>
      </c>
    </row>
    <row r="354" customFormat="false" ht="15" hidden="false" customHeight="false" outlineLevel="0" collapsed="false">
      <c r="A354" s="0" t="s">
        <v>440</v>
      </c>
    </row>
    <row r="355" customFormat="false" ht="15" hidden="false" customHeight="false" outlineLevel="0" collapsed="false">
      <c r="A355" s="0" t="s">
        <v>441</v>
      </c>
    </row>
    <row r="356" customFormat="false" ht="15" hidden="false" customHeight="false" outlineLevel="0" collapsed="false">
      <c r="A356" s="0" t="s">
        <v>442</v>
      </c>
    </row>
    <row r="357" customFormat="false" ht="15" hidden="false" customHeight="false" outlineLevel="0" collapsed="false">
      <c r="A357" s="0" t="s">
        <v>443</v>
      </c>
    </row>
    <row r="358" customFormat="false" ht="15" hidden="false" customHeight="false" outlineLevel="0" collapsed="false">
      <c r="A358" s="0" t="s">
        <v>444</v>
      </c>
    </row>
    <row r="359" customFormat="false" ht="15" hidden="false" customHeight="false" outlineLevel="0" collapsed="false">
      <c r="A359" s="0" t="s">
        <v>445</v>
      </c>
    </row>
    <row r="360" customFormat="false" ht="15" hidden="false" customHeight="false" outlineLevel="0" collapsed="false">
      <c r="A360" s="0" t="s">
        <v>446</v>
      </c>
    </row>
    <row r="361" customFormat="false" ht="15" hidden="false" customHeight="false" outlineLevel="0" collapsed="false">
      <c r="A361" s="0" t="s">
        <v>447</v>
      </c>
    </row>
    <row r="362" customFormat="false" ht="15" hidden="false" customHeight="false" outlineLevel="0" collapsed="false">
      <c r="A362" s="0" t="s">
        <v>448</v>
      </c>
    </row>
    <row r="363" customFormat="false" ht="15" hidden="false" customHeight="false" outlineLevel="0" collapsed="false">
      <c r="A363" s="0" t="s">
        <v>449</v>
      </c>
    </row>
    <row r="364" customFormat="false" ht="15" hidden="false" customHeight="false" outlineLevel="0" collapsed="false">
      <c r="A364" s="0" t="s">
        <v>450</v>
      </c>
    </row>
    <row r="365" customFormat="false" ht="15" hidden="false" customHeight="false" outlineLevel="0" collapsed="false">
      <c r="A365" s="0" t="s">
        <v>451</v>
      </c>
    </row>
    <row r="366" customFormat="false" ht="15" hidden="false" customHeight="false" outlineLevel="0" collapsed="false">
      <c r="A366" s="0" t="s">
        <v>452</v>
      </c>
    </row>
    <row r="367" customFormat="false" ht="15" hidden="false" customHeight="false" outlineLevel="0" collapsed="false">
      <c r="A367" s="0" t="s">
        <v>453</v>
      </c>
    </row>
    <row r="368" customFormat="false" ht="15" hidden="false" customHeight="false" outlineLevel="0" collapsed="false">
      <c r="A368" s="0" t="s">
        <v>454</v>
      </c>
    </row>
    <row r="369" customFormat="false" ht="15" hidden="false" customHeight="false" outlineLevel="0" collapsed="false">
      <c r="A369" s="0" t="s">
        <v>455</v>
      </c>
    </row>
    <row r="370" customFormat="false" ht="15" hidden="false" customHeight="false" outlineLevel="0" collapsed="false">
      <c r="A370" s="0" t="s">
        <v>456</v>
      </c>
    </row>
    <row r="371" customFormat="false" ht="15" hidden="false" customHeight="false" outlineLevel="0" collapsed="false">
      <c r="A371" s="0" t="s">
        <v>457</v>
      </c>
    </row>
    <row r="372" customFormat="false" ht="15" hidden="false" customHeight="false" outlineLevel="0" collapsed="false">
      <c r="A372" s="0" t="s">
        <v>458</v>
      </c>
    </row>
    <row r="373" customFormat="false" ht="15" hidden="false" customHeight="false" outlineLevel="0" collapsed="false">
      <c r="A373" s="0" t="s">
        <v>459</v>
      </c>
    </row>
    <row r="374" customFormat="false" ht="15" hidden="false" customHeight="false" outlineLevel="0" collapsed="false">
      <c r="A374" s="0" t="s">
        <v>460</v>
      </c>
    </row>
    <row r="375" customFormat="false" ht="15" hidden="false" customHeight="false" outlineLevel="0" collapsed="false">
      <c r="A375" s="0" t="s">
        <v>461</v>
      </c>
    </row>
    <row r="376" customFormat="false" ht="15" hidden="false" customHeight="false" outlineLevel="0" collapsed="false">
      <c r="A376" s="0" t="s">
        <v>462</v>
      </c>
    </row>
    <row r="377" customFormat="false" ht="15" hidden="false" customHeight="false" outlineLevel="0" collapsed="false">
      <c r="A377" s="0" t="s">
        <v>463</v>
      </c>
    </row>
    <row r="378" customFormat="false" ht="15" hidden="false" customHeight="false" outlineLevel="0" collapsed="false">
      <c r="A378" s="0" t="s">
        <v>464</v>
      </c>
    </row>
    <row r="379" customFormat="false" ht="15" hidden="false" customHeight="false" outlineLevel="0" collapsed="false">
      <c r="A379" s="0" t="s">
        <v>465</v>
      </c>
    </row>
    <row r="380" customFormat="false" ht="15" hidden="false" customHeight="false" outlineLevel="0" collapsed="false">
      <c r="A380" s="0" t="s">
        <v>466</v>
      </c>
    </row>
    <row r="381" customFormat="false" ht="15" hidden="false" customHeight="false" outlineLevel="0" collapsed="false">
      <c r="A381" s="0" t="s">
        <v>467</v>
      </c>
    </row>
    <row r="382" customFormat="false" ht="15" hidden="false" customHeight="false" outlineLevel="0" collapsed="false">
      <c r="A382" s="0" t="s">
        <v>468</v>
      </c>
    </row>
    <row r="383" customFormat="false" ht="15" hidden="false" customHeight="false" outlineLevel="0" collapsed="false">
      <c r="A383" s="0" t="s">
        <v>469</v>
      </c>
    </row>
    <row r="384" customFormat="false" ht="15" hidden="false" customHeight="false" outlineLevel="0" collapsed="false">
      <c r="A384" s="0" t="s">
        <v>470</v>
      </c>
    </row>
    <row r="385" customFormat="false" ht="15" hidden="false" customHeight="false" outlineLevel="0" collapsed="false">
      <c r="A385" s="0" t="s">
        <v>471</v>
      </c>
    </row>
    <row r="386" customFormat="false" ht="15" hidden="false" customHeight="false" outlineLevel="0" collapsed="false">
      <c r="A386" s="0" t="s">
        <v>472</v>
      </c>
    </row>
    <row r="387" customFormat="false" ht="15" hidden="false" customHeight="false" outlineLevel="0" collapsed="false">
      <c r="A387" s="0" t="s">
        <v>473</v>
      </c>
    </row>
    <row r="388" customFormat="false" ht="15" hidden="false" customHeight="false" outlineLevel="0" collapsed="false">
      <c r="A388" s="0" t="s">
        <v>474</v>
      </c>
    </row>
    <row r="389" customFormat="false" ht="15" hidden="false" customHeight="false" outlineLevel="0" collapsed="false">
      <c r="A389" s="0" t="s">
        <v>475</v>
      </c>
    </row>
    <row r="390" customFormat="false" ht="15" hidden="false" customHeight="false" outlineLevel="0" collapsed="false">
      <c r="A390" s="0" t="s">
        <v>476</v>
      </c>
    </row>
    <row r="391" customFormat="false" ht="15" hidden="false" customHeight="false" outlineLevel="0" collapsed="false">
      <c r="A391" s="0" t="s">
        <v>477</v>
      </c>
    </row>
    <row r="392" customFormat="false" ht="15" hidden="false" customHeight="false" outlineLevel="0" collapsed="false">
      <c r="A392" s="0" t="s">
        <v>478</v>
      </c>
    </row>
    <row r="393" customFormat="false" ht="15" hidden="false" customHeight="false" outlineLevel="0" collapsed="false">
      <c r="A393" s="0" t="s">
        <v>479</v>
      </c>
    </row>
    <row r="394" customFormat="false" ht="15" hidden="false" customHeight="false" outlineLevel="0" collapsed="false">
      <c r="A394" s="0" t="s">
        <v>480</v>
      </c>
    </row>
    <row r="395" customFormat="false" ht="15" hidden="false" customHeight="false" outlineLevel="0" collapsed="false">
      <c r="A395" s="0" t="s">
        <v>481</v>
      </c>
    </row>
    <row r="396" customFormat="false" ht="15" hidden="false" customHeight="false" outlineLevel="0" collapsed="false">
      <c r="A396" s="0" t="s">
        <v>482</v>
      </c>
    </row>
    <row r="397" customFormat="false" ht="15" hidden="false" customHeight="false" outlineLevel="0" collapsed="false">
      <c r="A397" s="0" t="s">
        <v>483</v>
      </c>
    </row>
    <row r="398" customFormat="false" ht="15" hidden="false" customHeight="false" outlineLevel="0" collapsed="false">
      <c r="A398" s="0" t="s">
        <v>484</v>
      </c>
    </row>
    <row r="399" customFormat="false" ht="15" hidden="false" customHeight="false" outlineLevel="0" collapsed="false">
      <c r="A399" s="0" t="s">
        <v>485</v>
      </c>
    </row>
    <row r="400" customFormat="false" ht="15" hidden="false" customHeight="false" outlineLevel="0" collapsed="false">
      <c r="A400" s="0" t="s">
        <v>486</v>
      </c>
    </row>
    <row r="401" customFormat="false" ht="15" hidden="false" customHeight="false" outlineLevel="0" collapsed="false">
      <c r="A401" s="0" t="s">
        <v>487</v>
      </c>
    </row>
    <row r="402" customFormat="false" ht="15" hidden="false" customHeight="false" outlineLevel="0" collapsed="false">
      <c r="A402" s="0" t="s">
        <v>488</v>
      </c>
    </row>
    <row r="403" customFormat="false" ht="15" hidden="false" customHeight="false" outlineLevel="0" collapsed="false">
      <c r="A403" s="0" t="s">
        <v>489</v>
      </c>
    </row>
    <row r="404" customFormat="false" ht="15" hidden="false" customHeight="false" outlineLevel="0" collapsed="false">
      <c r="A404" s="0" t="s">
        <v>490</v>
      </c>
    </row>
    <row r="405" customFormat="false" ht="15" hidden="false" customHeight="false" outlineLevel="0" collapsed="false">
      <c r="A405" s="0" t="s">
        <v>491</v>
      </c>
    </row>
    <row r="406" customFormat="false" ht="15" hidden="false" customHeight="false" outlineLevel="0" collapsed="false">
      <c r="A406" s="0" t="s">
        <v>492</v>
      </c>
    </row>
    <row r="407" customFormat="false" ht="15" hidden="false" customHeight="false" outlineLevel="0" collapsed="false">
      <c r="A407" s="0" t="s">
        <v>493</v>
      </c>
    </row>
    <row r="408" customFormat="false" ht="15" hidden="false" customHeight="false" outlineLevel="0" collapsed="false">
      <c r="A408" s="0" t="s">
        <v>494</v>
      </c>
    </row>
    <row r="409" customFormat="false" ht="15" hidden="false" customHeight="false" outlineLevel="0" collapsed="false">
      <c r="A409" s="0" t="s">
        <v>495</v>
      </c>
    </row>
    <row r="410" customFormat="false" ht="15" hidden="false" customHeight="false" outlineLevel="0" collapsed="false">
      <c r="A410" s="0" t="s">
        <v>496</v>
      </c>
    </row>
    <row r="411" customFormat="false" ht="15" hidden="false" customHeight="false" outlineLevel="0" collapsed="false">
      <c r="A411" s="0" t="s">
        <v>497</v>
      </c>
    </row>
    <row r="412" customFormat="false" ht="15" hidden="false" customHeight="false" outlineLevel="0" collapsed="false">
      <c r="A412" s="0" t="s">
        <v>498</v>
      </c>
    </row>
    <row r="413" customFormat="false" ht="15" hidden="false" customHeight="false" outlineLevel="0" collapsed="false">
      <c r="A413" s="0" t="s">
        <v>499</v>
      </c>
    </row>
    <row r="414" customFormat="false" ht="15" hidden="false" customHeight="false" outlineLevel="0" collapsed="false">
      <c r="A414" s="0" t="s">
        <v>500</v>
      </c>
    </row>
    <row r="415" customFormat="false" ht="15" hidden="false" customHeight="false" outlineLevel="0" collapsed="false">
      <c r="A415" s="0" t="s">
        <v>501</v>
      </c>
    </row>
    <row r="416" customFormat="false" ht="15" hidden="false" customHeight="false" outlineLevel="0" collapsed="false">
      <c r="A416" s="0" t="s">
        <v>502</v>
      </c>
    </row>
    <row r="417" customFormat="false" ht="15" hidden="false" customHeight="false" outlineLevel="0" collapsed="false">
      <c r="A417" s="0" t="s">
        <v>503</v>
      </c>
    </row>
    <row r="418" customFormat="false" ht="15" hidden="false" customHeight="false" outlineLevel="0" collapsed="false">
      <c r="A418" s="0" t="s">
        <v>504</v>
      </c>
    </row>
    <row r="419" customFormat="false" ht="15" hidden="false" customHeight="false" outlineLevel="0" collapsed="false">
      <c r="A419" s="0" t="s">
        <v>505</v>
      </c>
    </row>
    <row r="420" customFormat="false" ht="15" hidden="false" customHeight="false" outlineLevel="0" collapsed="false">
      <c r="A420" s="0" t="s">
        <v>506</v>
      </c>
    </row>
    <row r="421" customFormat="false" ht="15" hidden="false" customHeight="false" outlineLevel="0" collapsed="false">
      <c r="A421" s="0" t="s">
        <v>507</v>
      </c>
    </row>
    <row r="422" customFormat="false" ht="15" hidden="false" customHeight="false" outlineLevel="0" collapsed="false">
      <c r="A422" s="0" t="s">
        <v>508</v>
      </c>
    </row>
    <row r="423" customFormat="false" ht="15" hidden="false" customHeight="false" outlineLevel="0" collapsed="false">
      <c r="A423" s="0" t="s">
        <v>509</v>
      </c>
    </row>
    <row r="424" customFormat="false" ht="15" hidden="false" customHeight="false" outlineLevel="0" collapsed="false">
      <c r="A424" s="0" t="s">
        <v>510</v>
      </c>
    </row>
    <row r="425" customFormat="false" ht="15" hidden="false" customHeight="false" outlineLevel="0" collapsed="false">
      <c r="A425" s="0" t="s">
        <v>511</v>
      </c>
    </row>
    <row r="426" customFormat="false" ht="15" hidden="false" customHeight="false" outlineLevel="0" collapsed="false">
      <c r="A426" s="0" t="s">
        <v>512</v>
      </c>
    </row>
    <row r="427" customFormat="false" ht="15" hidden="false" customHeight="false" outlineLevel="0" collapsed="false">
      <c r="A427" s="0" t="s">
        <v>513</v>
      </c>
    </row>
    <row r="428" customFormat="false" ht="15" hidden="false" customHeight="false" outlineLevel="0" collapsed="false">
      <c r="A428" s="0" t="s">
        <v>514</v>
      </c>
    </row>
    <row r="429" customFormat="false" ht="15" hidden="false" customHeight="false" outlineLevel="0" collapsed="false">
      <c r="A429" s="0" t="s">
        <v>515</v>
      </c>
    </row>
    <row r="430" customFormat="false" ht="15" hidden="false" customHeight="false" outlineLevel="0" collapsed="false">
      <c r="A430" s="0" t="s">
        <v>516</v>
      </c>
    </row>
    <row r="431" customFormat="false" ht="15" hidden="false" customHeight="false" outlineLevel="0" collapsed="false">
      <c r="A431" s="0" t="s">
        <v>517</v>
      </c>
    </row>
    <row r="432" customFormat="false" ht="15" hidden="false" customHeight="false" outlineLevel="0" collapsed="false">
      <c r="A432" s="0" t="s">
        <v>518</v>
      </c>
    </row>
    <row r="433" customFormat="false" ht="15" hidden="false" customHeight="false" outlineLevel="0" collapsed="false">
      <c r="A433" s="0" t="s">
        <v>519</v>
      </c>
    </row>
    <row r="434" customFormat="false" ht="15" hidden="false" customHeight="false" outlineLevel="0" collapsed="false">
      <c r="A434" s="0" t="s">
        <v>520</v>
      </c>
    </row>
    <row r="435" customFormat="false" ht="15" hidden="false" customHeight="false" outlineLevel="0" collapsed="false">
      <c r="A435" s="0" t="s">
        <v>521</v>
      </c>
    </row>
    <row r="436" customFormat="false" ht="15" hidden="false" customHeight="false" outlineLevel="0" collapsed="false">
      <c r="A436" s="0" t="s">
        <v>522</v>
      </c>
    </row>
    <row r="437" customFormat="false" ht="15" hidden="false" customHeight="false" outlineLevel="0" collapsed="false">
      <c r="A437" s="0" t="s">
        <v>523</v>
      </c>
    </row>
    <row r="438" customFormat="false" ht="15" hidden="false" customHeight="false" outlineLevel="0" collapsed="false">
      <c r="A438" s="0" t="s">
        <v>524</v>
      </c>
    </row>
    <row r="439" customFormat="false" ht="15" hidden="false" customHeight="false" outlineLevel="0" collapsed="false">
      <c r="A439" s="0" t="s">
        <v>525</v>
      </c>
    </row>
    <row r="440" customFormat="false" ht="15" hidden="false" customHeight="false" outlineLevel="0" collapsed="false">
      <c r="A440" s="0" t="s">
        <v>526</v>
      </c>
    </row>
    <row r="441" customFormat="false" ht="15" hidden="false" customHeight="false" outlineLevel="0" collapsed="false">
      <c r="A441" s="0" t="s">
        <v>527</v>
      </c>
    </row>
    <row r="442" customFormat="false" ht="15" hidden="false" customHeight="false" outlineLevel="0" collapsed="false">
      <c r="A442" s="0" t="s">
        <v>528</v>
      </c>
    </row>
    <row r="443" customFormat="false" ht="15" hidden="false" customHeight="false" outlineLevel="0" collapsed="false">
      <c r="A443" s="0" t="s">
        <v>529</v>
      </c>
    </row>
    <row r="444" customFormat="false" ht="15" hidden="false" customHeight="false" outlineLevel="0" collapsed="false">
      <c r="A444" s="0" t="s">
        <v>530</v>
      </c>
    </row>
    <row r="445" customFormat="false" ht="15" hidden="false" customHeight="false" outlineLevel="0" collapsed="false">
      <c r="A445" s="0" t="s">
        <v>531</v>
      </c>
    </row>
    <row r="446" customFormat="false" ht="15" hidden="false" customHeight="false" outlineLevel="0" collapsed="false">
      <c r="A446" s="0" t="s">
        <v>532</v>
      </c>
    </row>
    <row r="447" customFormat="false" ht="15" hidden="false" customHeight="false" outlineLevel="0" collapsed="false">
      <c r="A447" s="0" t="s">
        <v>533</v>
      </c>
    </row>
    <row r="448" customFormat="false" ht="15" hidden="false" customHeight="false" outlineLevel="0" collapsed="false">
      <c r="A448" s="0" t="s">
        <v>534</v>
      </c>
    </row>
    <row r="449" customFormat="false" ht="15" hidden="false" customHeight="false" outlineLevel="0" collapsed="false">
      <c r="A449" s="0" t="s">
        <v>535</v>
      </c>
    </row>
    <row r="450" customFormat="false" ht="15" hidden="false" customHeight="false" outlineLevel="0" collapsed="false">
      <c r="A450" s="0" t="s">
        <v>536</v>
      </c>
    </row>
    <row r="451" customFormat="false" ht="15" hidden="false" customHeight="false" outlineLevel="0" collapsed="false">
      <c r="A451" s="0" t="s">
        <v>537</v>
      </c>
    </row>
    <row r="452" customFormat="false" ht="15" hidden="false" customHeight="false" outlineLevel="0" collapsed="false">
      <c r="A452" s="0" t="s">
        <v>538</v>
      </c>
    </row>
    <row r="453" customFormat="false" ht="15" hidden="false" customHeight="false" outlineLevel="0" collapsed="false">
      <c r="A453" s="0" t="s">
        <v>539</v>
      </c>
    </row>
    <row r="454" customFormat="false" ht="15" hidden="false" customHeight="false" outlineLevel="0" collapsed="false">
      <c r="A454" s="0" t="s">
        <v>540</v>
      </c>
    </row>
    <row r="455" customFormat="false" ht="15" hidden="false" customHeight="false" outlineLevel="0" collapsed="false">
      <c r="A455" s="0" t="s">
        <v>541</v>
      </c>
    </row>
    <row r="456" customFormat="false" ht="15" hidden="false" customHeight="false" outlineLevel="0" collapsed="false">
      <c r="A456" s="0" t="s">
        <v>542</v>
      </c>
    </row>
    <row r="457" customFormat="false" ht="15" hidden="false" customHeight="false" outlineLevel="0" collapsed="false">
      <c r="A457" s="0" t="s">
        <v>543</v>
      </c>
    </row>
    <row r="458" customFormat="false" ht="15" hidden="false" customHeight="false" outlineLevel="0" collapsed="false">
      <c r="A458" s="0" t="s">
        <v>544</v>
      </c>
    </row>
    <row r="459" customFormat="false" ht="15" hidden="false" customHeight="false" outlineLevel="0" collapsed="false">
      <c r="A459" s="0" t="s">
        <v>545</v>
      </c>
    </row>
    <row r="460" customFormat="false" ht="15" hidden="false" customHeight="false" outlineLevel="0" collapsed="false">
      <c r="A460" s="0" t="s">
        <v>546</v>
      </c>
    </row>
    <row r="461" customFormat="false" ht="15" hidden="false" customHeight="false" outlineLevel="0" collapsed="false">
      <c r="A461" s="0" t="s">
        <v>547</v>
      </c>
    </row>
    <row r="462" customFormat="false" ht="15" hidden="false" customHeight="false" outlineLevel="0" collapsed="false">
      <c r="A462" s="0" t="s">
        <v>548</v>
      </c>
    </row>
    <row r="463" customFormat="false" ht="15" hidden="false" customHeight="false" outlineLevel="0" collapsed="false">
      <c r="A463" s="0" t="s">
        <v>549</v>
      </c>
    </row>
    <row r="464" customFormat="false" ht="15" hidden="false" customHeight="false" outlineLevel="0" collapsed="false">
      <c r="A464" s="0" t="s">
        <v>550</v>
      </c>
    </row>
    <row r="465" customFormat="false" ht="15" hidden="false" customHeight="false" outlineLevel="0" collapsed="false">
      <c r="A465" s="0" t="s">
        <v>551</v>
      </c>
    </row>
    <row r="466" customFormat="false" ht="15" hidden="false" customHeight="false" outlineLevel="0" collapsed="false">
      <c r="A466" s="0" t="s">
        <v>552</v>
      </c>
    </row>
    <row r="467" customFormat="false" ht="15" hidden="false" customHeight="false" outlineLevel="0" collapsed="false">
      <c r="A467" s="0" t="s">
        <v>553</v>
      </c>
    </row>
    <row r="468" customFormat="false" ht="15" hidden="false" customHeight="false" outlineLevel="0" collapsed="false">
      <c r="A468" s="0" t="s">
        <v>554</v>
      </c>
    </row>
    <row r="469" customFormat="false" ht="15" hidden="false" customHeight="false" outlineLevel="0" collapsed="false">
      <c r="A469" s="0" t="s">
        <v>555</v>
      </c>
    </row>
    <row r="470" customFormat="false" ht="15" hidden="false" customHeight="false" outlineLevel="0" collapsed="false">
      <c r="A470" s="0" t="s">
        <v>556</v>
      </c>
    </row>
    <row r="471" customFormat="false" ht="15" hidden="false" customHeight="false" outlineLevel="0" collapsed="false">
      <c r="A471" s="0" t="s">
        <v>557</v>
      </c>
    </row>
    <row r="472" customFormat="false" ht="15" hidden="false" customHeight="false" outlineLevel="0" collapsed="false">
      <c r="A472" s="0" t="s">
        <v>558</v>
      </c>
    </row>
    <row r="473" customFormat="false" ht="15" hidden="false" customHeight="false" outlineLevel="0" collapsed="false">
      <c r="A473" s="0" t="s">
        <v>559</v>
      </c>
    </row>
    <row r="474" customFormat="false" ht="15" hidden="false" customHeight="false" outlineLevel="0" collapsed="false">
      <c r="A474" s="0" t="s">
        <v>560</v>
      </c>
    </row>
    <row r="475" customFormat="false" ht="15" hidden="false" customHeight="false" outlineLevel="0" collapsed="false">
      <c r="A475" s="0" t="s">
        <v>561</v>
      </c>
    </row>
    <row r="476" customFormat="false" ht="15" hidden="false" customHeight="false" outlineLevel="0" collapsed="false">
      <c r="A476" s="0" t="s">
        <v>562</v>
      </c>
    </row>
    <row r="477" customFormat="false" ht="15" hidden="false" customHeight="false" outlineLevel="0" collapsed="false">
      <c r="A477" s="0" t="s">
        <v>563</v>
      </c>
    </row>
    <row r="478" customFormat="false" ht="15" hidden="false" customHeight="false" outlineLevel="0" collapsed="false">
      <c r="A478" s="0" t="s">
        <v>564</v>
      </c>
    </row>
    <row r="479" customFormat="false" ht="15" hidden="false" customHeight="false" outlineLevel="0" collapsed="false">
      <c r="A479" s="0" t="s">
        <v>565</v>
      </c>
    </row>
    <row r="480" customFormat="false" ht="15" hidden="false" customHeight="false" outlineLevel="0" collapsed="false">
      <c r="A480" s="0" t="s">
        <v>566</v>
      </c>
    </row>
    <row r="481" customFormat="false" ht="15" hidden="false" customHeight="false" outlineLevel="0" collapsed="false">
      <c r="A481" s="0" t="s">
        <v>567</v>
      </c>
    </row>
    <row r="482" customFormat="false" ht="15" hidden="false" customHeight="false" outlineLevel="0" collapsed="false">
      <c r="A482" s="0" t="s">
        <v>568</v>
      </c>
    </row>
    <row r="483" customFormat="false" ht="15" hidden="false" customHeight="false" outlineLevel="0" collapsed="false">
      <c r="A483" s="0" t="s">
        <v>569</v>
      </c>
    </row>
    <row r="484" customFormat="false" ht="15" hidden="false" customHeight="false" outlineLevel="0" collapsed="false">
      <c r="A484" s="0" t="s">
        <v>570</v>
      </c>
    </row>
    <row r="485" customFormat="false" ht="15" hidden="false" customHeight="false" outlineLevel="0" collapsed="false">
      <c r="A485" s="0" t="s">
        <v>571</v>
      </c>
    </row>
    <row r="486" customFormat="false" ht="15" hidden="false" customHeight="false" outlineLevel="0" collapsed="false">
      <c r="A486" s="0" t="s">
        <v>572</v>
      </c>
    </row>
    <row r="487" customFormat="false" ht="15" hidden="false" customHeight="false" outlineLevel="0" collapsed="false">
      <c r="A487" s="0" t="s">
        <v>573</v>
      </c>
    </row>
    <row r="488" customFormat="false" ht="15" hidden="false" customHeight="false" outlineLevel="0" collapsed="false">
      <c r="A488" s="0" t="s">
        <v>574</v>
      </c>
    </row>
    <row r="489" customFormat="false" ht="15" hidden="false" customHeight="false" outlineLevel="0" collapsed="false">
      <c r="A489" s="0" t="s">
        <v>575</v>
      </c>
    </row>
    <row r="490" customFormat="false" ht="15" hidden="false" customHeight="false" outlineLevel="0" collapsed="false">
      <c r="A490" s="0" t="s">
        <v>576</v>
      </c>
    </row>
    <row r="491" customFormat="false" ht="15" hidden="false" customHeight="false" outlineLevel="0" collapsed="false">
      <c r="A491" s="0" t="s">
        <v>577</v>
      </c>
    </row>
    <row r="492" customFormat="false" ht="15" hidden="false" customHeight="false" outlineLevel="0" collapsed="false">
      <c r="A492" s="0" t="s">
        <v>578</v>
      </c>
    </row>
    <row r="493" customFormat="false" ht="15" hidden="false" customHeight="false" outlineLevel="0" collapsed="false">
      <c r="A493" s="0" t="s">
        <v>579</v>
      </c>
    </row>
    <row r="494" customFormat="false" ht="15" hidden="false" customHeight="false" outlineLevel="0" collapsed="false">
      <c r="A494" s="0" t="s">
        <v>580</v>
      </c>
    </row>
    <row r="495" customFormat="false" ht="15" hidden="false" customHeight="false" outlineLevel="0" collapsed="false">
      <c r="A495" s="0" t="s">
        <v>581</v>
      </c>
    </row>
    <row r="496" customFormat="false" ht="15" hidden="false" customHeight="false" outlineLevel="0" collapsed="false">
      <c r="A496" s="0" t="s">
        <v>582</v>
      </c>
    </row>
    <row r="497" customFormat="false" ht="15" hidden="false" customHeight="false" outlineLevel="0" collapsed="false">
      <c r="A497" s="0" t="s">
        <v>583</v>
      </c>
    </row>
    <row r="498" customFormat="false" ht="15" hidden="false" customHeight="false" outlineLevel="0" collapsed="false">
      <c r="A498" s="0" t="s">
        <v>584</v>
      </c>
    </row>
    <row r="499" customFormat="false" ht="15" hidden="false" customHeight="false" outlineLevel="0" collapsed="false">
      <c r="A499" s="0" t="s">
        <v>585</v>
      </c>
    </row>
    <row r="500" customFormat="false" ht="15" hidden="false" customHeight="false" outlineLevel="0" collapsed="false">
      <c r="A500" s="0" t="s">
        <v>586</v>
      </c>
    </row>
    <row r="501" customFormat="false" ht="15" hidden="false" customHeight="false" outlineLevel="0" collapsed="false">
      <c r="A501" s="0" t="s">
        <v>587</v>
      </c>
    </row>
    <row r="502" customFormat="false" ht="15" hidden="false" customHeight="false" outlineLevel="0" collapsed="false">
      <c r="A502" s="0" t="s">
        <v>588</v>
      </c>
    </row>
    <row r="503" customFormat="false" ht="15" hidden="false" customHeight="false" outlineLevel="0" collapsed="false">
      <c r="A503" s="0" t="s">
        <v>589</v>
      </c>
    </row>
    <row r="504" customFormat="false" ht="15" hidden="false" customHeight="false" outlineLevel="0" collapsed="false">
      <c r="A504" s="0" t="s">
        <v>590</v>
      </c>
    </row>
    <row r="505" customFormat="false" ht="15" hidden="false" customHeight="false" outlineLevel="0" collapsed="false">
      <c r="A505" s="0" t="s">
        <v>591</v>
      </c>
    </row>
    <row r="506" customFormat="false" ht="15" hidden="false" customHeight="false" outlineLevel="0" collapsed="false">
      <c r="A506" s="0" t="s">
        <v>592</v>
      </c>
    </row>
    <row r="507" customFormat="false" ht="15" hidden="false" customHeight="false" outlineLevel="0" collapsed="false">
      <c r="A507" s="0" t="s">
        <v>593</v>
      </c>
    </row>
    <row r="508" customFormat="false" ht="15" hidden="false" customHeight="false" outlineLevel="0" collapsed="false">
      <c r="A508" s="0" t="s">
        <v>594</v>
      </c>
    </row>
    <row r="509" customFormat="false" ht="15" hidden="false" customHeight="false" outlineLevel="0" collapsed="false">
      <c r="A509" s="0" t="s">
        <v>595</v>
      </c>
    </row>
    <row r="510" customFormat="false" ht="15" hidden="false" customHeight="false" outlineLevel="0" collapsed="false">
      <c r="A510" s="0" t="s">
        <v>596</v>
      </c>
    </row>
    <row r="511" customFormat="false" ht="15" hidden="false" customHeight="false" outlineLevel="0" collapsed="false">
      <c r="A511" s="0" t="s">
        <v>597</v>
      </c>
    </row>
    <row r="512" customFormat="false" ht="15" hidden="false" customHeight="false" outlineLevel="0" collapsed="false">
      <c r="A512" s="0" t="s">
        <v>598</v>
      </c>
    </row>
    <row r="513" customFormat="false" ht="15" hidden="false" customHeight="false" outlineLevel="0" collapsed="false">
      <c r="A513" s="0" t="s">
        <v>599</v>
      </c>
    </row>
    <row r="514" customFormat="false" ht="15" hidden="false" customHeight="false" outlineLevel="0" collapsed="false">
      <c r="A514" s="0" t="s">
        <v>600</v>
      </c>
    </row>
    <row r="515" customFormat="false" ht="15" hidden="false" customHeight="false" outlineLevel="0" collapsed="false">
      <c r="A515" s="0" t="s">
        <v>601</v>
      </c>
    </row>
    <row r="516" customFormat="false" ht="15" hidden="false" customHeight="false" outlineLevel="0" collapsed="false">
      <c r="A516" s="0" t="s">
        <v>602</v>
      </c>
    </row>
    <row r="517" customFormat="false" ht="15" hidden="false" customHeight="false" outlineLevel="0" collapsed="false">
      <c r="A517" s="0" t="s">
        <v>603</v>
      </c>
    </row>
    <row r="518" customFormat="false" ht="15" hidden="false" customHeight="false" outlineLevel="0" collapsed="false">
      <c r="A518" s="0" t="s">
        <v>604</v>
      </c>
    </row>
    <row r="519" customFormat="false" ht="15" hidden="false" customHeight="false" outlineLevel="0" collapsed="false">
      <c r="A519" s="0" t="s">
        <v>605</v>
      </c>
    </row>
    <row r="520" customFormat="false" ht="15" hidden="false" customHeight="false" outlineLevel="0" collapsed="false">
      <c r="A520" s="0" t="s">
        <v>606</v>
      </c>
    </row>
    <row r="521" customFormat="false" ht="15" hidden="false" customHeight="false" outlineLevel="0" collapsed="false">
      <c r="A521" s="0" t="s">
        <v>607</v>
      </c>
    </row>
    <row r="522" customFormat="false" ht="15" hidden="false" customHeight="false" outlineLevel="0" collapsed="false">
      <c r="A522" s="0" t="s">
        <v>608</v>
      </c>
    </row>
    <row r="523" customFormat="false" ht="15" hidden="false" customHeight="false" outlineLevel="0" collapsed="false">
      <c r="A523" s="0" t="s">
        <v>609</v>
      </c>
    </row>
    <row r="524" customFormat="false" ht="15" hidden="false" customHeight="false" outlineLevel="0" collapsed="false">
      <c r="A524" s="0" t="s">
        <v>610</v>
      </c>
    </row>
    <row r="525" customFormat="false" ht="15" hidden="false" customHeight="false" outlineLevel="0" collapsed="false">
      <c r="A525" s="0" t="s">
        <v>611</v>
      </c>
    </row>
    <row r="526" customFormat="false" ht="15" hidden="false" customHeight="false" outlineLevel="0" collapsed="false">
      <c r="A526" s="0" t="s">
        <v>612</v>
      </c>
    </row>
    <row r="527" customFormat="false" ht="15" hidden="false" customHeight="false" outlineLevel="0" collapsed="false">
      <c r="A527" s="0" t="s">
        <v>613</v>
      </c>
    </row>
    <row r="528" customFormat="false" ht="15" hidden="false" customHeight="false" outlineLevel="0" collapsed="false">
      <c r="A528" s="0" t="s">
        <v>614</v>
      </c>
    </row>
    <row r="529" customFormat="false" ht="15" hidden="false" customHeight="false" outlineLevel="0" collapsed="false">
      <c r="A529" s="0" t="s">
        <v>615</v>
      </c>
    </row>
    <row r="530" customFormat="false" ht="15" hidden="false" customHeight="false" outlineLevel="0" collapsed="false">
      <c r="A530" s="0" t="s">
        <v>616</v>
      </c>
    </row>
    <row r="531" customFormat="false" ht="15" hidden="false" customHeight="false" outlineLevel="0" collapsed="false">
      <c r="A531" s="0" t="s">
        <v>617</v>
      </c>
    </row>
    <row r="532" customFormat="false" ht="15" hidden="false" customHeight="false" outlineLevel="0" collapsed="false">
      <c r="A532" s="0" t="s">
        <v>618</v>
      </c>
    </row>
    <row r="533" customFormat="false" ht="15" hidden="false" customHeight="false" outlineLevel="0" collapsed="false">
      <c r="A533" s="0" t="s">
        <v>619</v>
      </c>
    </row>
    <row r="534" customFormat="false" ht="15" hidden="false" customHeight="false" outlineLevel="0" collapsed="false">
      <c r="A534" s="0" t="s">
        <v>620</v>
      </c>
    </row>
    <row r="535" customFormat="false" ht="15" hidden="false" customHeight="false" outlineLevel="0" collapsed="false">
      <c r="A535" s="0" t="s">
        <v>621</v>
      </c>
    </row>
    <row r="536" customFormat="false" ht="15" hidden="false" customHeight="false" outlineLevel="0" collapsed="false">
      <c r="A536" s="0" t="s">
        <v>622</v>
      </c>
    </row>
    <row r="537" customFormat="false" ht="15" hidden="false" customHeight="false" outlineLevel="0" collapsed="false">
      <c r="A537" s="0" t="s">
        <v>623</v>
      </c>
    </row>
    <row r="538" customFormat="false" ht="15" hidden="false" customHeight="false" outlineLevel="0" collapsed="false">
      <c r="A538" s="0" t="s">
        <v>624</v>
      </c>
    </row>
    <row r="539" customFormat="false" ht="15" hidden="false" customHeight="false" outlineLevel="0" collapsed="false">
      <c r="A539" s="0" t="s">
        <v>625</v>
      </c>
    </row>
    <row r="540" customFormat="false" ht="15" hidden="false" customHeight="false" outlineLevel="0" collapsed="false">
      <c r="A540" s="0" t="s">
        <v>626</v>
      </c>
    </row>
    <row r="541" customFormat="false" ht="15" hidden="false" customHeight="false" outlineLevel="0" collapsed="false">
      <c r="A541" s="0" t="s">
        <v>627</v>
      </c>
    </row>
    <row r="542" customFormat="false" ht="15" hidden="false" customHeight="false" outlineLevel="0" collapsed="false">
      <c r="A542" s="0" t="s">
        <v>628</v>
      </c>
    </row>
    <row r="543" customFormat="false" ht="15" hidden="false" customHeight="false" outlineLevel="0" collapsed="false">
      <c r="A543" s="0" t="s">
        <v>629</v>
      </c>
    </row>
    <row r="544" customFormat="false" ht="15" hidden="false" customHeight="false" outlineLevel="0" collapsed="false">
      <c r="A544" s="0" t="s">
        <v>630</v>
      </c>
    </row>
    <row r="545" customFormat="false" ht="15" hidden="false" customHeight="false" outlineLevel="0" collapsed="false">
      <c r="A545" s="0" t="s">
        <v>631</v>
      </c>
    </row>
    <row r="546" customFormat="false" ht="15" hidden="false" customHeight="false" outlineLevel="0" collapsed="false">
      <c r="A546" s="0" t="s">
        <v>632</v>
      </c>
    </row>
    <row r="547" customFormat="false" ht="15" hidden="false" customHeight="false" outlineLevel="0" collapsed="false">
      <c r="A547" s="0" t="s">
        <v>633</v>
      </c>
    </row>
    <row r="548" customFormat="false" ht="15" hidden="false" customHeight="false" outlineLevel="0" collapsed="false">
      <c r="A548" s="0" t="s">
        <v>634</v>
      </c>
    </row>
    <row r="549" customFormat="false" ht="15" hidden="false" customHeight="false" outlineLevel="0" collapsed="false">
      <c r="A549" s="0" t="s">
        <v>635</v>
      </c>
    </row>
    <row r="550" customFormat="false" ht="15" hidden="false" customHeight="false" outlineLevel="0" collapsed="false">
      <c r="A550" s="0" t="s">
        <v>636</v>
      </c>
    </row>
    <row r="551" customFormat="false" ht="15" hidden="false" customHeight="false" outlineLevel="0" collapsed="false">
      <c r="A551" s="0" t="s">
        <v>637</v>
      </c>
    </row>
    <row r="552" customFormat="false" ht="15" hidden="false" customHeight="false" outlineLevel="0" collapsed="false">
      <c r="A552" s="0" t="s">
        <v>638</v>
      </c>
    </row>
    <row r="553" customFormat="false" ht="15" hidden="false" customHeight="false" outlineLevel="0" collapsed="false">
      <c r="A553" s="0" t="s">
        <v>639</v>
      </c>
    </row>
    <row r="554" customFormat="false" ht="15" hidden="false" customHeight="false" outlineLevel="0" collapsed="false">
      <c r="A554" s="0" t="s">
        <v>640</v>
      </c>
    </row>
    <row r="555" customFormat="false" ht="15" hidden="false" customHeight="false" outlineLevel="0" collapsed="false">
      <c r="A555" s="0" t="s">
        <v>641</v>
      </c>
    </row>
    <row r="556" customFormat="false" ht="15" hidden="false" customHeight="false" outlineLevel="0" collapsed="false">
      <c r="A556" s="0" t="s">
        <v>642</v>
      </c>
    </row>
    <row r="557" customFormat="false" ht="15" hidden="false" customHeight="false" outlineLevel="0" collapsed="false">
      <c r="A557" s="0" t="s">
        <v>643</v>
      </c>
    </row>
    <row r="558" customFormat="false" ht="15" hidden="false" customHeight="false" outlineLevel="0" collapsed="false">
      <c r="A558" s="0" t="s">
        <v>644</v>
      </c>
    </row>
    <row r="559" customFormat="false" ht="15" hidden="false" customHeight="false" outlineLevel="0" collapsed="false">
      <c r="A559" s="0" t="s">
        <v>645</v>
      </c>
    </row>
    <row r="560" customFormat="false" ht="15" hidden="false" customHeight="false" outlineLevel="0" collapsed="false">
      <c r="A560" s="0" t="s">
        <v>646</v>
      </c>
    </row>
    <row r="561" customFormat="false" ht="15" hidden="false" customHeight="false" outlineLevel="0" collapsed="false">
      <c r="A561" s="0" t="s">
        <v>647</v>
      </c>
    </row>
    <row r="562" customFormat="false" ht="15" hidden="false" customHeight="false" outlineLevel="0" collapsed="false">
      <c r="A562" s="0" t="s">
        <v>648</v>
      </c>
    </row>
    <row r="563" customFormat="false" ht="15" hidden="false" customHeight="false" outlineLevel="0" collapsed="false">
      <c r="A563" s="0" t="s">
        <v>649</v>
      </c>
    </row>
    <row r="564" customFormat="false" ht="15" hidden="false" customHeight="false" outlineLevel="0" collapsed="false">
      <c r="A564" s="0" t="s">
        <v>650</v>
      </c>
    </row>
    <row r="565" customFormat="false" ht="15" hidden="false" customHeight="false" outlineLevel="0" collapsed="false">
      <c r="A565" s="0" t="s">
        <v>651</v>
      </c>
    </row>
    <row r="566" customFormat="false" ht="15" hidden="false" customHeight="false" outlineLevel="0" collapsed="false">
      <c r="A566" s="0" t="s">
        <v>652</v>
      </c>
    </row>
    <row r="567" customFormat="false" ht="15" hidden="false" customHeight="false" outlineLevel="0" collapsed="false">
      <c r="A567" s="0" t="s">
        <v>653</v>
      </c>
    </row>
    <row r="568" customFormat="false" ht="15" hidden="false" customHeight="false" outlineLevel="0" collapsed="false">
      <c r="A568" s="0" t="s">
        <v>654</v>
      </c>
    </row>
    <row r="569" customFormat="false" ht="15" hidden="false" customHeight="false" outlineLevel="0" collapsed="false">
      <c r="A569" s="0" t="s">
        <v>655</v>
      </c>
    </row>
    <row r="570" customFormat="false" ht="15" hidden="false" customHeight="false" outlineLevel="0" collapsed="false">
      <c r="A570" s="0" t="s">
        <v>656</v>
      </c>
    </row>
    <row r="571" customFormat="false" ht="15" hidden="false" customHeight="false" outlineLevel="0" collapsed="false">
      <c r="A571" s="0" t="s">
        <v>657</v>
      </c>
    </row>
    <row r="572" customFormat="false" ht="15" hidden="false" customHeight="false" outlineLevel="0" collapsed="false">
      <c r="A572" s="0" t="s">
        <v>658</v>
      </c>
    </row>
    <row r="573" customFormat="false" ht="15" hidden="false" customHeight="false" outlineLevel="0" collapsed="false">
      <c r="A573" s="0" t="s">
        <v>659</v>
      </c>
    </row>
    <row r="574" customFormat="false" ht="15" hidden="false" customHeight="false" outlineLevel="0" collapsed="false">
      <c r="A574" s="0" t="s">
        <v>660</v>
      </c>
    </row>
    <row r="575" customFormat="false" ht="15" hidden="false" customHeight="false" outlineLevel="0" collapsed="false">
      <c r="A575" s="0" t="s">
        <v>661</v>
      </c>
    </row>
    <row r="576" customFormat="false" ht="15" hidden="false" customHeight="false" outlineLevel="0" collapsed="false">
      <c r="A576" s="0" t="s">
        <v>662</v>
      </c>
    </row>
    <row r="577" customFormat="false" ht="15" hidden="false" customHeight="false" outlineLevel="0" collapsed="false">
      <c r="A577" s="0" t="s">
        <v>663</v>
      </c>
    </row>
    <row r="578" customFormat="false" ht="15" hidden="false" customHeight="false" outlineLevel="0" collapsed="false">
      <c r="A578" s="0" t="s">
        <v>664</v>
      </c>
    </row>
    <row r="579" customFormat="false" ht="15" hidden="false" customHeight="false" outlineLevel="0" collapsed="false">
      <c r="A579" s="0" t="s">
        <v>665</v>
      </c>
    </row>
    <row r="580" customFormat="false" ht="15" hidden="false" customHeight="false" outlineLevel="0" collapsed="false">
      <c r="A580" s="0" t="s">
        <v>666</v>
      </c>
    </row>
    <row r="581" customFormat="false" ht="15" hidden="false" customHeight="false" outlineLevel="0" collapsed="false">
      <c r="A581" s="0" t="s">
        <v>667</v>
      </c>
    </row>
    <row r="582" customFormat="false" ht="15" hidden="false" customHeight="false" outlineLevel="0" collapsed="false">
      <c r="A582" s="0" t="s">
        <v>668</v>
      </c>
    </row>
    <row r="583" customFormat="false" ht="15" hidden="false" customHeight="false" outlineLevel="0" collapsed="false">
      <c r="A583" s="0" t="s">
        <v>669</v>
      </c>
    </row>
    <row r="584" customFormat="false" ht="15" hidden="false" customHeight="false" outlineLevel="0" collapsed="false">
      <c r="A584" s="0" t="s">
        <v>670</v>
      </c>
    </row>
    <row r="585" customFormat="false" ht="15" hidden="false" customHeight="false" outlineLevel="0" collapsed="false">
      <c r="A585" s="0" t="s">
        <v>671</v>
      </c>
    </row>
    <row r="586" customFormat="false" ht="15" hidden="false" customHeight="false" outlineLevel="0" collapsed="false">
      <c r="A586" s="0" t="s">
        <v>672</v>
      </c>
    </row>
    <row r="587" customFormat="false" ht="15" hidden="false" customHeight="false" outlineLevel="0" collapsed="false">
      <c r="A587" s="0" t="s">
        <v>673</v>
      </c>
    </row>
    <row r="588" customFormat="false" ht="15" hidden="false" customHeight="false" outlineLevel="0" collapsed="false">
      <c r="A588" s="0" t="s">
        <v>674</v>
      </c>
    </row>
    <row r="589" customFormat="false" ht="15" hidden="false" customHeight="false" outlineLevel="0" collapsed="false">
      <c r="A589" s="0" t="s">
        <v>675</v>
      </c>
    </row>
    <row r="590" customFormat="false" ht="15" hidden="false" customHeight="false" outlineLevel="0" collapsed="false">
      <c r="A590" s="0" t="s">
        <v>676</v>
      </c>
    </row>
    <row r="591" customFormat="false" ht="15" hidden="false" customHeight="false" outlineLevel="0" collapsed="false">
      <c r="A591" s="0" t="s">
        <v>677</v>
      </c>
    </row>
    <row r="592" customFormat="false" ht="15" hidden="false" customHeight="false" outlineLevel="0" collapsed="false">
      <c r="A592" s="0" t="s">
        <v>678</v>
      </c>
    </row>
    <row r="593" customFormat="false" ht="15" hidden="false" customHeight="false" outlineLevel="0" collapsed="false">
      <c r="A593" s="0" t="s">
        <v>679</v>
      </c>
    </row>
    <row r="594" customFormat="false" ht="15" hidden="false" customHeight="false" outlineLevel="0" collapsed="false">
      <c r="A594" s="0" t="s">
        <v>680</v>
      </c>
    </row>
    <row r="595" customFormat="false" ht="15" hidden="false" customHeight="false" outlineLevel="0" collapsed="false">
      <c r="A595" s="0" t="s">
        <v>681</v>
      </c>
    </row>
    <row r="596" customFormat="false" ht="15" hidden="false" customHeight="false" outlineLevel="0" collapsed="false">
      <c r="A596" s="0" t="s">
        <v>682</v>
      </c>
    </row>
    <row r="597" customFormat="false" ht="15" hidden="false" customHeight="false" outlineLevel="0" collapsed="false">
      <c r="A597" s="0" t="s">
        <v>683</v>
      </c>
    </row>
    <row r="598" customFormat="false" ht="15" hidden="false" customHeight="false" outlineLevel="0" collapsed="false">
      <c r="A598" s="0" t="s">
        <v>684</v>
      </c>
    </row>
    <row r="599" customFormat="false" ht="15" hidden="false" customHeight="false" outlineLevel="0" collapsed="false">
      <c r="A599" s="0" t="s">
        <v>685</v>
      </c>
    </row>
    <row r="600" customFormat="false" ht="15" hidden="false" customHeight="false" outlineLevel="0" collapsed="false">
      <c r="A600" s="0" t="s">
        <v>686</v>
      </c>
    </row>
    <row r="601" customFormat="false" ht="15" hidden="false" customHeight="false" outlineLevel="0" collapsed="false">
      <c r="A601" s="0" t="s">
        <v>687</v>
      </c>
    </row>
    <row r="602" customFormat="false" ht="15" hidden="false" customHeight="false" outlineLevel="0" collapsed="false">
      <c r="A602" s="0" t="s">
        <v>688</v>
      </c>
    </row>
    <row r="603" customFormat="false" ht="15" hidden="false" customHeight="false" outlineLevel="0" collapsed="false">
      <c r="A603" s="0" t="s">
        <v>689</v>
      </c>
    </row>
    <row r="604" customFormat="false" ht="15" hidden="false" customHeight="false" outlineLevel="0" collapsed="false">
      <c r="A604" s="0" t="s">
        <v>690</v>
      </c>
    </row>
    <row r="605" customFormat="false" ht="15" hidden="false" customHeight="false" outlineLevel="0" collapsed="false">
      <c r="A605" s="0" t="s">
        <v>691</v>
      </c>
    </row>
    <row r="606" customFormat="false" ht="15" hidden="false" customHeight="false" outlineLevel="0" collapsed="false">
      <c r="A606" s="0" t="s">
        <v>692</v>
      </c>
    </row>
    <row r="607" customFormat="false" ht="15" hidden="false" customHeight="false" outlineLevel="0" collapsed="false">
      <c r="A607" s="0" t="s">
        <v>693</v>
      </c>
    </row>
    <row r="608" customFormat="false" ht="15" hidden="false" customHeight="false" outlineLevel="0" collapsed="false">
      <c r="A608" s="0" t="s">
        <v>694</v>
      </c>
    </row>
    <row r="609" customFormat="false" ht="15" hidden="false" customHeight="false" outlineLevel="0" collapsed="false">
      <c r="A609" s="0" t="s">
        <v>695</v>
      </c>
    </row>
    <row r="610" customFormat="false" ht="15" hidden="false" customHeight="false" outlineLevel="0" collapsed="false">
      <c r="A610" s="0" t="s">
        <v>696</v>
      </c>
    </row>
    <row r="611" customFormat="false" ht="15" hidden="false" customHeight="false" outlineLevel="0" collapsed="false">
      <c r="A611" s="0" t="s">
        <v>697</v>
      </c>
    </row>
    <row r="612" customFormat="false" ht="15" hidden="false" customHeight="false" outlineLevel="0" collapsed="false">
      <c r="A612" s="0" t="s">
        <v>698</v>
      </c>
    </row>
    <row r="613" customFormat="false" ht="15" hidden="false" customHeight="false" outlineLevel="0" collapsed="false">
      <c r="A613" s="0" t="s">
        <v>699</v>
      </c>
    </row>
    <row r="614" customFormat="false" ht="15" hidden="false" customHeight="false" outlineLevel="0" collapsed="false">
      <c r="A614" s="0" t="s">
        <v>700</v>
      </c>
    </row>
    <row r="615" customFormat="false" ht="15" hidden="false" customHeight="false" outlineLevel="0" collapsed="false">
      <c r="A615" s="0" t="s">
        <v>701</v>
      </c>
    </row>
    <row r="616" customFormat="false" ht="15" hidden="false" customHeight="false" outlineLevel="0" collapsed="false">
      <c r="A616" s="0" t="s">
        <v>702</v>
      </c>
    </row>
    <row r="617" customFormat="false" ht="15" hidden="false" customHeight="false" outlineLevel="0" collapsed="false">
      <c r="A617" s="0" t="s">
        <v>703</v>
      </c>
    </row>
    <row r="618" customFormat="false" ht="15" hidden="false" customHeight="false" outlineLevel="0" collapsed="false">
      <c r="A618" s="0" t="s">
        <v>704</v>
      </c>
    </row>
    <row r="619" customFormat="false" ht="15" hidden="false" customHeight="false" outlineLevel="0" collapsed="false">
      <c r="A619" s="0" t="s">
        <v>705</v>
      </c>
    </row>
    <row r="620" customFormat="false" ht="15" hidden="false" customHeight="false" outlineLevel="0" collapsed="false">
      <c r="A620" s="0" t="s">
        <v>706</v>
      </c>
    </row>
    <row r="621" customFormat="false" ht="15" hidden="false" customHeight="false" outlineLevel="0" collapsed="false">
      <c r="A621" s="0" t="s">
        <v>707</v>
      </c>
    </row>
    <row r="622" customFormat="false" ht="15" hidden="false" customHeight="false" outlineLevel="0" collapsed="false">
      <c r="A622" s="0" t="s">
        <v>708</v>
      </c>
    </row>
    <row r="623" customFormat="false" ht="15" hidden="false" customHeight="false" outlineLevel="0" collapsed="false">
      <c r="A623" s="0" t="s">
        <v>709</v>
      </c>
    </row>
    <row r="624" customFormat="false" ht="15" hidden="false" customHeight="false" outlineLevel="0" collapsed="false">
      <c r="A624" s="0" t="s">
        <v>710</v>
      </c>
    </row>
    <row r="625" customFormat="false" ht="15" hidden="false" customHeight="false" outlineLevel="0" collapsed="false">
      <c r="A625" s="0" t="s">
        <v>711</v>
      </c>
    </row>
    <row r="626" customFormat="false" ht="15" hidden="false" customHeight="false" outlineLevel="0" collapsed="false">
      <c r="A626" s="0" t="s">
        <v>712</v>
      </c>
    </row>
    <row r="627" customFormat="false" ht="15" hidden="false" customHeight="false" outlineLevel="0" collapsed="false">
      <c r="A627" s="0" t="s">
        <v>713</v>
      </c>
    </row>
    <row r="628" customFormat="false" ht="15" hidden="false" customHeight="false" outlineLevel="0" collapsed="false">
      <c r="A628" s="0" t="s">
        <v>714</v>
      </c>
    </row>
    <row r="629" customFormat="false" ht="15" hidden="false" customHeight="false" outlineLevel="0" collapsed="false">
      <c r="A629" s="0" t="s">
        <v>715</v>
      </c>
    </row>
    <row r="630" customFormat="false" ht="15" hidden="false" customHeight="false" outlineLevel="0" collapsed="false">
      <c r="A630" s="0" t="s">
        <v>716</v>
      </c>
    </row>
    <row r="631" customFormat="false" ht="15" hidden="false" customHeight="false" outlineLevel="0" collapsed="false">
      <c r="A631" s="0" t="s">
        <v>717</v>
      </c>
    </row>
    <row r="632" customFormat="false" ht="15" hidden="false" customHeight="false" outlineLevel="0" collapsed="false">
      <c r="A632" s="0" t="s">
        <v>718</v>
      </c>
    </row>
    <row r="633" customFormat="false" ht="15" hidden="false" customHeight="false" outlineLevel="0" collapsed="false">
      <c r="A633" s="0" t="s">
        <v>719</v>
      </c>
    </row>
    <row r="634" customFormat="false" ht="15" hidden="false" customHeight="false" outlineLevel="0" collapsed="false">
      <c r="A634" s="0" t="s">
        <v>720</v>
      </c>
    </row>
    <row r="635" customFormat="false" ht="15" hidden="false" customHeight="false" outlineLevel="0" collapsed="false">
      <c r="A635" s="0" t="s">
        <v>721</v>
      </c>
    </row>
    <row r="636" customFormat="false" ht="15" hidden="false" customHeight="false" outlineLevel="0" collapsed="false">
      <c r="A636" s="0" t="s">
        <v>722</v>
      </c>
    </row>
    <row r="637" customFormat="false" ht="15" hidden="false" customHeight="false" outlineLevel="0" collapsed="false">
      <c r="A637" s="0" t="s">
        <v>723</v>
      </c>
    </row>
    <row r="638" customFormat="false" ht="15" hidden="false" customHeight="false" outlineLevel="0" collapsed="false">
      <c r="A638" s="0" t="s">
        <v>724</v>
      </c>
    </row>
    <row r="639" customFormat="false" ht="15" hidden="false" customHeight="false" outlineLevel="0" collapsed="false">
      <c r="A639" s="0" t="s">
        <v>725</v>
      </c>
    </row>
    <row r="640" customFormat="false" ht="15" hidden="false" customHeight="false" outlineLevel="0" collapsed="false">
      <c r="A640" s="0" t="s">
        <v>726</v>
      </c>
    </row>
    <row r="641" customFormat="false" ht="15" hidden="false" customHeight="false" outlineLevel="0" collapsed="false">
      <c r="A641" s="0" t="s">
        <v>727</v>
      </c>
    </row>
    <row r="642" customFormat="false" ht="15" hidden="false" customHeight="false" outlineLevel="0" collapsed="false">
      <c r="A642" s="0" t="s">
        <v>728</v>
      </c>
    </row>
    <row r="643" customFormat="false" ht="15" hidden="false" customHeight="false" outlineLevel="0" collapsed="false">
      <c r="A643" s="0" t="s">
        <v>729</v>
      </c>
    </row>
    <row r="644" customFormat="false" ht="15" hidden="false" customHeight="false" outlineLevel="0" collapsed="false">
      <c r="A644" s="0" t="s">
        <v>730</v>
      </c>
    </row>
    <row r="645" customFormat="false" ht="15" hidden="false" customHeight="false" outlineLevel="0" collapsed="false">
      <c r="A645" s="0" t="s">
        <v>731</v>
      </c>
    </row>
    <row r="646" customFormat="false" ht="15" hidden="false" customHeight="false" outlineLevel="0" collapsed="false">
      <c r="A646" s="0" t="s">
        <v>732</v>
      </c>
    </row>
    <row r="647" customFormat="false" ht="15" hidden="false" customHeight="false" outlineLevel="0" collapsed="false">
      <c r="A647" s="0" t="s">
        <v>733</v>
      </c>
    </row>
    <row r="648" customFormat="false" ht="15" hidden="false" customHeight="false" outlineLevel="0" collapsed="false">
      <c r="A648" s="0" t="s">
        <v>734</v>
      </c>
    </row>
    <row r="649" customFormat="false" ht="15" hidden="false" customHeight="false" outlineLevel="0" collapsed="false">
      <c r="A649" s="0" t="s">
        <v>735</v>
      </c>
    </row>
    <row r="650" customFormat="false" ht="15" hidden="false" customHeight="false" outlineLevel="0" collapsed="false">
      <c r="A650" s="0" t="s">
        <v>736</v>
      </c>
    </row>
    <row r="651" customFormat="false" ht="15" hidden="false" customHeight="false" outlineLevel="0" collapsed="false">
      <c r="A651" s="0" t="s">
        <v>737</v>
      </c>
    </row>
    <row r="652" customFormat="false" ht="15" hidden="false" customHeight="false" outlineLevel="0" collapsed="false">
      <c r="A652" s="0" t="s">
        <v>738</v>
      </c>
    </row>
    <row r="653" customFormat="false" ht="15" hidden="false" customHeight="false" outlineLevel="0" collapsed="false">
      <c r="A653" s="0" t="s">
        <v>739</v>
      </c>
    </row>
    <row r="654" customFormat="false" ht="15" hidden="false" customHeight="false" outlineLevel="0" collapsed="false">
      <c r="A654" s="0" t="s">
        <v>740</v>
      </c>
    </row>
    <row r="655" customFormat="false" ht="15" hidden="false" customHeight="false" outlineLevel="0" collapsed="false">
      <c r="A655" s="0" t="s">
        <v>741</v>
      </c>
    </row>
    <row r="656" customFormat="false" ht="15" hidden="false" customHeight="false" outlineLevel="0" collapsed="false">
      <c r="A656" s="0" t="s">
        <v>742</v>
      </c>
    </row>
    <row r="657" customFormat="false" ht="15" hidden="false" customHeight="false" outlineLevel="0" collapsed="false">
      <c r="A657" s="0" t="s">
        <v>743</v>
      </c>
    </row>
    <row r="658" customFormat="false" ht="15" hidden="false" customHeight="false" outlineLevel="0" collapsed="false">
      <c r="A658" s="0" t="s">
        <v>744</v>
      </c>
    </row>
    <row r="659" customFormat="false" ht="15" hidden="false" customHeight="false" outlineLevel="0" collapsed="false">
      <c r="A659" s="0" t="s">
        <v>745</v>
      </c>
    </row>
    <row r="660" customFormat="false" ht="15" hidden="false" customHeight="false" outlineLevel="0" collapsed="false">
      <c r="A660" s="0" t="s">
        <v>746</v>
      </c>
    </row>
    <row r="661" customFormat="false" ht="15" hidden="false" customHeight="false" outlineLevel="0" collapsed="false">
      <c r="A661" s="0" t="s">
        <v>747</v>
      </c>
    </row>
    <row r="662" customFormat="false" ht="15" hidden="false" customHeight="false" outlineLevel="0" collapsed="false">
      <c r="A662" s="0" t="s">
        <v>748</v>
      </c>
    </row>
    <row r="663" customFormat="false" ht="15" hidden="false" customHeight="false" outlineLevel="0" collapsed="false">
      <c r="A663" s="0" t="s">
        <v>749</v>
      </c>
    </row>
    <row r="664" customFormat="false" ht="15" hidden="false" customHeight="false" outlineLevel="0" collapsed="false">
      <c r="A664" s="0" t="s">
        <v>750</v>
      </c>
    </row>
    <row r="665" customFormat="false" ht="15" hidden="false" customHeight="false" outlineLevel="0" collapsed="false">
      <c r="A665" s="0" t="s">
        <v>751</v>
      </c>
    </row>
    <row r="666" customFormat="false" ht="15" hidden="false" customHeight="false" outlineLevel="0" collapsed="false">
      <c r="A666" s="0" t="s">
        <v>752</v>
      </c>
    </row>
    <row r="667" customFormat="false" ht="15" hidden="false" customHeight="false" outlineLevel="0" collapsed="false">
      <c r="A667" s="0" t="s">
        <v>753</v>
      </c>
    </row>
    <row r="668" customFormat="false" ht="15" hidden="false" customHeight="false" outlineLevel="0" collapsed="false">
      <c r="A668" s="0" t="s">
        <v>754</v>
      </c>
    </row>
    <row r="669" customFormat="false" ht="15" hidden="false" customHeight="false" outlineLevel="0" collapsed="false">
      <c r="A669" s="0" t="s">
        <v>755</v>
      </c>
    </row>
    <row r="670" customFormat="false" ht="15" hidden="false" customHeight="false" outlineLevel="0" collapsed="false">
      <c r="A670" s="0" t="s">
        <v>756</v>
      </c>
    </row>
    <row r="671" customFormat="false" ht="15" hidden="false" customHeight="false" outlineLevel="0" collapsed="false">
      <c r="A671" s="0" t="s">
        <v>757</v>
      </c>
    </row>
    <row r="672" customFormat="false" ht="15" hidden="false" customHeight="false" outlineLevel="0" collapsed="false">
      <c r="A672" s="0" t="s">
        <v>758</v>
      </c>
    </row>
    <row r="673" customFormat="false" ht="15" hidden="false" customHeight="false" outlineLevel="0" collapsed="false">
      <c r="A673" s="0" t="s">
        <v>759</v>
      </c>
    </row>
    <row r="674" customFormat="false" ht="15" hidden="false" customHeight="false" outlineLevel="0" collapsed="false">
      <c r="A674" s="0" t="s">
        <v>760</v>
      </c>
    </row>
    <row r="675" customFormat="false" ht="15" hidden="false" customHeight="false" outlineLevel="0" collapsed="false">
      <c r="A675" s="0" t="s">
        <v>761</v>
      </c>
    </row>
    <row r="676" customFormat="false" ht="15" hidden="false" customHeight="false" outlineLevel="0" collapsed="false">
      <c r="A676" s="0" t="s">
        <v>762</v>
      </c>
    </row>
    <row r="677" customFormat="false" ht="15" hidden="false" customHeight="false" outlineLevel="0" collapsed="false">
      <c r="A677" s="0" t="s">
        <v>763</v>
      </c>
    </row>
    <row r="678" customFormat="false" ht="15" hidden="false" customHeight="false" outlineLevel="0" collapsed="false">
      <c r="A678" s="0" t="s">
        <v>764</v>
      </c>
    </row>
    <row r="679" customFormat="false" ht="15" hidden="false" customHeight="false" outlineLevel="0" collapsed="false">
      <c r="A679" s="0" t="s">
        <v>765</v>
      </c>
    </row>
    <row r="680" customFormat="false" ht="15" hidden="false" customHeight="false" outlineLevel="0" collapsed="false">
      <c r="A680" s="0" t="s">
        <v>766</v>
      </c>
    </row>
    <row r="681" customFormat="false" ht="15" hidden="false" customHeight="false" outlineLevel="0" collapsed="false">
      <c r="A681" s="0" t="s">
        <v>767</v>
      </c>
    </row>
    <row r="682" customFormat="false" ht="15" hidden="false" customHeight="false" outlineLevel="0" collapsed="false">
      <c r="A682" s="0" t="s">
        <v>768</v>
      </c>
    </row>
    <row r="683" customFormat="false" ht="15" hidden="false" customHeight="false" outlineLevel="0" collapsed="false">
      <c r="A683" s="0" t="s">
        <v>769</v>
      </c>
    </row>
    <row r="684" customFormat="false" ht="15" hidden="false" customHeight="false" outlineLevel="0" collapsed="false">
      <c r="A684" s="0" t="s">
        <v>770</v>
      </c>
    </row>
    <row r="685" customFormat="false" ht="15" hidden="false" customHeight="false" outlineLevel="0" collapsed="false">
      <c r="A685" s="0" t="s">
        <v>771</v>
      </c>
    </row>
    <row r="686" customFormat="false" ht="15" hidden="false" customHeight="false" outlineLevel="0" collapsed="false">
      <c r="A686" s="0" t="s">
        <v>772</v>
      </c>
    </row>
    <row r="687" customFormat="false" ht="15" hidden="false" customHeight="false" outlineLevel="0" collapsed="false">
      <c r="A687" s="0" t="s">
        <v>773</v>
      </c>
    </row>
    <row r="688" customFormat="false" ht="15" hidden="false" customHeight="false" outlineLevel="0" collapsed="false">
      <c r="A688" s="0" t="s">
        <v>774</v>
      </c>
    </row>
    <row r="689" customFormat="false" ht="15" hidden="false" customHeight="false" outlineLevel="0" collapsed="false">
      <c r="A689" s="0" t="s">
        <v>775</v>
      </c>
    </row>
    <row r="690" customFormat="false" ht="15" hidden="false" customHeight="false" outlineLevel="0" collapsed="false">
      <c r="A690" s="0" t="s">
        <v>776</v>
      </c>
    </row>
    <row r="691" customFormat="false" ht="15" hidden="false" customHeight="false" outlineLevel="0" collapsed="false">
      <c r="A691" s="0" t="s">
        <v>777</v>
      </c>
    </row>
    <row r="692" customFormat="false" ht="15" hidden="false" customHeight="false" outlineLevel="0" collapsed="false">
      <c r="A692" s="0" t="s">
        <v>778</v>
      </c>
    </row>
    <row r="693" customFormat="false" ht="15" hidden="false" customHeight="false" outlineLevel="0" collapsed="false">
      <c r="A693" s="0" t="s">
        <v>779</v>
      </c>
    </row>
    <row r="694" customFormat="false" ht="15" hidden="false" customHeight="false" outlineLevel="0" collapsed="false">
      <c r="A694" s="0" t="s">
        <v>780</v>
      </c>
    </row>
    <row r="695" customFormat="false" ht="15" hidden="false" customHeight="false" outlineLevel="0" collapsed="false">
      <c r="A695" s="0" t="s">
        <v>781</v>
      </c>
    </row>
    <row r="696" customFormat="false" ht="15" hidden="false" customHeight="false" outlineLevel="0" collapsed="false">
      <c r="A696" s="0" t="s">
        <v>782</v>
      </c>
    </row>
    <row r="697" customFormat="false" ht="15" hidden="false" customHeight="false" outlineLevel="0" collapsed="false">
      <c r="A697" s="0" t="s">
        <v>783</v>
      </c>
    </row>
    <row r="698" customFormat="false" ht="15" hidden="false" customHeight="false" outlineLevel="0" collapsed="false">
      <c r="A698" s="0" t="s">
        <v>784</v>
      </c>
    </row>
    <row r="699" customFormat="false" ht="15" hidden="false" customHeight="false" outlineLevel="0" collapsed="false">
      <c r="A699" s="0" t="s">
        <v>785</v>
      </c>
    </row>
    <row r="700" customFormat="false" ht="15" hidden="false" customHeight="false" outlineLevel="0" collapsed="false">
      <c r="A700" s="0" t="s">
        <v>786</v>
      </c>
    </row>
    <row r="701" customFormat="false" ht="15" hidden="false" customHeight="false" outlineLevel="0" collapsed="false">
      <c r="A701" s="0" t="s">
        <v>787</v>
      </c>
    </row>
    <row r="702" customFormat="false" ht="15" hidden="false" customHeight="false" outlineLevel="0" collapsed="false">
      <c r="A702" s="0" t="s">
        <v>788</v>
      </c>
    </row>
    <row r="703" customFormat="false" ht="15" hidden="false" customHeight="false" outlineLevel="0" collapsed="false">
      <c r="A703" s="0" t="s">
        <v>789</v>
      </c>
    </row>
    <row r="704" customFormat="false" ht="15" hidden="false" customHeight="false" outlineLevel="0" collapsed="false">
      <c r="A704" s="0" t="s">
        <v>790</v>
      </c>
    </row>
    <row r="705" customFormat="false" ht="15" hidden="false" customHeight="false" outlineLevel="0" collapsed="false">
      <c r="A705" s="0" t="s">
        <v>791</v>
      </c>
    </row>
    <row r="706" customFormat="false" ht="15" hidden="false" customHeight="false" outlineLevel="0" collapsed="false">
      <c r="A706" s="0" t="s">
        <v>792</v>
      </c>
    </row>
    <row r="707" customFormat="false" ht="15" hidden="false" customHeight="false" outlineLevel="0" collapsed="false">
      <c r="A707" s="0" t="s">
        <v>793</v>
      </c>
    </row>
    <row r="708" customFormat="false" ht="15" hidden="false" customHeight="false" outlineLevel="0" collapsed="false">
      <c r="A708" s="0" t="s">
        <v>794</v>
      </c>
    </row>
    <row r="709" customFormat="false" ht="15" hidden="false" customHeight="false" outlineLevel="0" collapsed="false">
      <c r="A709" s="0" t="s">
        <v>795</v>
      </c>
    </row>
    <row r="710" customFormat="false" ht="15" hidden="false" customHeight="false" outlineLevel="0" collapsed="false">
      <c r="A710" s="0" t="s">
        <v>796</v>
      </c>
    </row>
    <row r="711" customFormat="false" ht="15" hidden="false" customHeight="false" outlineLevel="0" collapsed="false">
      <c r="A711" s="0" t="s">
        <v>797</v>
      </c>
    </row>
    <row r="712" customFormat="false" ht="15" hidden="false" customHeight="false" outlineLevel="0" collapsed="false">
      <c r="A712" s="0" t="s">
        <v>798</v>
      </c>
    </row>
    <row r="713" customFormat="false" ht="15" hidden="false" customHeight="false" outlineLevel="0" collapsed="false">
      <c r="A713" s="0" t="s">
        <v>799</v>
      </c>
    </row>
  </sheetData>
  <mergeCells count="1">
    <mergeCell ref="H11:I11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tableParts>
    <tablePart r:id="rId1"/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U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9" activeCellId="0" sqref="D9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17.71"/>
    <col collapsed="false" customWidth="true" hidden="false" outlineLevel="0" max="2" min="2" style="0" width="4.71"/>
    <col collapsed="false" customWidth="true" hidden="false" outlineLevel="0" max="3" min="3" style="0" width="4.43"/>
    <col collapsed="false" customWidth="true" hidden="false" outlineLevel="0" max="4" min="4" style="0" width="6.43"/>
    <col collapsed="false" customWidth="true" hidden="false" outlineLevel="0" max="5" min="5" style="0" width="20"/>
    <col collapsed="false" customWidth="true" hidden="false" outlineLevel="0" max="6" min="6" style="0" width="26.42"/>
    <col collapsed="false" customWidth="true" hidden="false" outlineLevel="0" max="7" min="7" style="0" width="23.57"/>
    <col collapsed="false" customWidth="true" hidden="false" outlineLevel="0" max="8" min="8" style="0" width="30"/>
    <col collapsed="false" customWidth="true" hidden="false" outlineLevel="0" max="9" min="9" style="0" width="12.57"/>
    <col collapsed="false" customWidth="true" hidden="false" outlineLevel="0" max="10" min="10" style="0" width="10.43"/>
    <col collapsed="false" customWidth="true" hidden="false" outlineLevel="0" max="11" min="11" style="0" width="11.28"/>
    <col collapsed="false" customWidth="true" hidden="false" outlineLevel="0" max="12" min="12" style="0" width="15.71"/>
    <col collapsed="false" customWidth="true" hidden="false" outlineLevel="0" max="13" min="13" style="0" width="11.57"/>
    <col collapsed="false" customWidth="true" hidden="false" outlineLevel="0" max="14" min="14" style="0" width="11"/>
    <col collapsed="false" customWidth="true" hidden="false" outlineLevel="0" max="15" min="15" style="0" width="13.71"/>
    <col collapsed="false" customWidth="true" hidden="false" outlineLevel="0" max="16" min="16" style="0" width="11.43"/>
    <col collapsed="false" customWidth="true" hidden="false" outlineLevel="0" max="17" min="17" style="0" width="11.28"/>
    <col collapsed="false" customWidth="true" hidden="false" outlineLevel="0" max="20" min="20" style="0" width="12.14"/>
    <col collapsed="false" customWidth="true" hidden="false" outlineLevel="0" max="21" min="21" style="0" width="17"/>
  </cols>
  <sheetData>
    <row r="1" customFormat="false" ht="15" hidden="false" customHeight="false" outlineLevel="0" collapsed="false">
      <c r="A1" s="39" t="s">
        <v>800</v>
      </c>
      <c r="B1" s="39" t="s">
        <v>801</v>
      </c>
      <c r="C1" s="39" t="s">
        <v>802</v>
      </c>
      <c r="D1" s="39" t="s">
        <v>803</v>
      </c>
      <c r="E1" s="39" t="s">
        <v>804</v>
      </c>
      <c r="F1" s="39" t="s">
        <v>805</v>
      </c>
      <c r="G1" s="39" t="s">
        <v>806</v>
      </c>
      <c r="H1" s="39" t="s">
        <v>807</v>
      </c>
      <c r="I1" s="39" t="s">
        <v>808</v>
      </c>
      <c r="J1" s="39" t="s">
        <v>809</v>
      </c>
      <c r="K1" s="39" t="s">
        <v>810</v>
      </c>
      <c r="L1" s="39" t="s">
        <v>811</v>
      </c>
      <c r="M1" s="39" t="s">
        <v>812</v>
      </c>
      <c r="N1" s="39" t="s">
        <v>813</v>
      </c>
      <c r="O1" s="39" t="s">
        <v>814</v>
      </c>
      <c r="P1" s="39" t="s">
        <v>815</v>
      </c>
      <c r="Q1" s="39" t="s">
        <v>101</v>
      </c>
      <c r="R1" s="39" t="s">
        <v>92</v>
      </c>
      <c r="S1" s="39" t="s">
        <v>104</v>
      </c>
      <c r="T1" s="39" t="s">
        <v>816</v>
      </c>
      <c r="U1" s="39" t="s">
        <v>817</v>
      </c>
    </row>
    <row r="2" customFormat="false" ht="13.8" hidden="false" customHeight="false" outlineLevel="0" collapsed="false"/>
    <row r="3" customFormat="false" ht="13.8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tableParts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LibreOffice/6.4.6.2$Linux_X86_64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2020-08-25T11:35:46Z</dcterms:created>
  <dc:creator>Johnny Ford</dc:creator>
  <dc:description/>
  <dc:language>en-US</dc:language>
  <cp:lastModifiedBy/>
  <dcterms:modified xsi:type="dcterms:W3CDTF">2020-08-27T08:24:41Z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