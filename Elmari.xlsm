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Elmarie\"/>
    </mc:Choice>
  </mc:AlternateContent>
  <xr:revisionPtr revIDLastSave="0" documentId="13_ncr:1_{EE381F48-DA02-4CE8-B508-4617D73EA7C9}" xr6:coauthVersionLast="45" xr6:coauthVersionMax="45" xr10:uidLastSave="{00000000-0000-0000-0000-000000000000}"/>
  <bookViews>
    <workbookView xWindow="-120" yWindow="-120" windowWidth="24240" windowHeight="13140" activeTab="1" xr2:uid="{31EE4369-A798-4B50-9A0A-53ECA62DEB3C}"/>
  </bookViews>
  <sheets>
    <sheet name="studentInput" sheetId="2" r:id="rId1"/>
    <sheet name="lists" sheetId="4" r:id="rId2"/>
    <sheet name="studentList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3" i="4" l="1"/>
  <c r="L12" i="4"/>
  <c r="L16" i="4"/>
  <c r="L19" i="4" l="1"/>
  <c r="L18" i="4"/>
  <c r="L17" i="4"/>
  <c r="I13" i="4" s="1"/>
  <c r="L15" i="4"/>
  <c r="I24" i="4" s="1"/>
  <c r="L14" i="4"/>
  <c r="I23" i="4" s="1"/>
  <c r="I20" i="4"/>
  <c r="I19" i="4"/>
  <c r="I25" i="4" l="1"/>
  <c r="I26" i="4" s="1"/>
  <c r="I21" i="4" l="1"/>
  <c r="I22" i="4" s="1"/>
  <c r="I27" i="4" s="1"/>
</calcChain>
</file>

<file path=xl/sharedStrings.xml><?xml version="1.0" encoding="utf-8"?>
<sst xmlns="http://schemas.openxmlformats.org/spreadsheetml/2006/main" count="829" uniqueCount="820">
  <si>
    <t>SSSP 311</t>
  </si>
  <si>
    <t>SSRS 321</t>
  </si>
  <si>
    <t>SSPT 221</t>
  </si>
  <si>
    <t>SSPT 211</t>
  </si>
  <si>
    <t>SSNP 311</t>
  </si>
  <si>
    <t>SSIT 311</t>
  </si>
  <si>
    <t>SSHC 321</t>
  </si>
  <si>
    <t>SSGP 121</t>
  </si>
  <si>
    <t>SSGP 111</t>
  </si>
  <si>
    <t>SSDP 221</t>
  </si>
  <si>
    <t>SSDP 211</t>
  </si>
  <si>
    <t>SSCP 211</t>
  </si>
  <si>
    <t>SSAE 311</t>
  </si>
  <si>
    <t>SSAB 321</t>
  </si>
  <si>
    <t>SSAB 311</t>
  </si>
  <si>
    <t>SPS 3BB3</t>
  </si>
  <si>
    <t>SPS 3AA3</t>
  </si>
  <si>
    <t>SPS 2BB2</t>
  </si>
  <si>
    <t>SPS 2B21</t>
  </si>
  <si>
    <t>SPS 03B3</t>
  </si>
  <si>
    <t>SPP 03A3</t>
  </si>
  <si>
    <t>Sport Psyc 3B</t>
  </si>
  <si>
    <t>Sport Psyc 3A</t>
  </si>
  <si>
    <t>Sport Psyc 1</t>
  </si>
  <si>
    <t>SPORT PSY3B</t>
  </si>
  <si>
    <t>SPORT PSY3A</t>
  </si>
  <si>
    <t>SPORT  PSY 2</t>
  </si>
  <si>
    <t>SP 317</t>
  </si>
  <si>
    <t>SP 314</t>
  </si>
  <si>
    <t>SP 310</t>
  </si>
  <si>
    <t>SP 304</t>
  </si>
  <si>
    <t>SP 303</t>
  </si>
  <si>
    <t>SP 302</t>
  </si>
  <si>
    <t>SP 301</t>
  </si>
  <si>
    <t>SP 204</t>
  </si>
  <si>
    <t>SP 203</t>
  </si>
  <si>
    <t>SP 202</t>
  </si>
  <si>
    <t>SP 201</t>
  </si>
  <si>
    <t>SP 114</t>
  </si>
  <si>
    <t>SP 109</t>
  </si>
  <si>
    <t>SP 107</t>
  </si>
  <si>
    <t>SP 103</t>
  </si>
  <si>
    <t>SP 102</t>
  </si>
  <si>
    <t>SP 101</t>
  </si>
  <si>
    <t>SLK220</t>
  </si>
  <si>
    <t>SLK 3G</t>
  </si>
  <si>
    <t>SLK 3F</t>
  </si>
  <si>
    <t>SLK 3D</t>
  </si>
  <si>
    <t>SLK 3A</t>
  </si>
  <si>
    <t>SLK 362</t>
  </si>
  <si>
    <t>SLK 356</t>
  </si>
  <si>
    <t>SLK 355</t>
  </si>
  <si>
    <t>SLK 353</t>
  </si>
  <si>
    <t>SLK 352</t>
  </si>
  <si>
    <t>SLK 351</t>
  </si>
  <si>
    <t>SLK 321</t>
  </si>
  <si>
    <t>SLK 320</t>
  </si>
  <si>
    <t>SLK 310</t>
  </si>
  <si>
    <t>SLK 300</t>
  </si>
  <si>
    <t>SLK 2C</t>
  </si>
  <si>
    <t>SLK 2B</t>
  </si>
  <si>
    <t>SLK 2A</t>
  </si>
  <si>
    <t>SLK 256</t>
  </si>
  <si>
    <t>SLK 254</t>
  </si>
  <si>
    <t>SLK 253</t>
  </si>
  <si>
    <t>SLK 252</t>
  </si>
  <si>
    <t>SLK 251</t>
  </si>
  <si>
    <t>SLK 2355</t>
  </si>
  <si>
    <t>SLK 220</t>
  </si>
  <si>
    <t>SLK 210</t>
  </si>
  <si>
    <t>SLK 202</t>
  </si>
  <si>
    <t>SLK 201</t>
  </si>
  <si>
    <t>SLK 1B</t>
  </si>
  <si>
    <t>SLK 1A</t>
  </si>
  <si>
    <t>SLK 157</t>
  </si>
  <si>
    <t>SLK 156</t>
  </si>
  <si>
    <t>SLK 155</t>
  </si>
  <si>
    <t>SLK 154</t>
  </si>
  <si>
    <t>SLK 152</t>
  </si>
  <si>
    <t>SLK 151</t>
  </si>
  <si>
    <t>SLK 120</t>
  </si>
  <si>
    <t>SLK 110</t>
  </si>
  <si>
    <t>SLK 102</t>
  </si>
  <si>
    <t>SIL2B21</t>
  </si>
  <si>
    <t>SIL2A11</t>
  </si>
  <si>
    <t>SIL1B21</t>
  </si>
  <si>
    <t>SIL1A11</t>
  </si>
  <si>
    <t>SIL 3D</t>
  </si>
  <si>
    <t>SIL 3C</t>
  </si>
  <si>
    <t>SIL 3B</t>
  </si>
  <si>
    <t>SIL 3A</t>
  </si>
  <si>
    <t>SIL 2B</t>
  </si>
  <si>
    <t>SIL 2A</t>
  </si>
  <si>
    <t>SIL 1B</t>
  </si>
  <si>
    <t>SIL 1A</t>
  </si>
  <si>
    <t>SIL 110</t>
  </si>
  <si>
    <t>SIL 108</t>
  </si>
  <si>
    <t>PYV 3703</t>
  </si>
  <si>
    <t>PYV 370-5</t>
  </si>
  <si>
    <t>PYSC 3</t>
  </si>
  <si>
    <t>PYS 204-9</t>
  </si>
  <si>
    <t>PYC3706</t>
  </si>
  <si>
    <t>PYC3705</t>
  </si>
  <si>
    <t>PYC3704</t>
  </si>
  <si>
    <t>PYC3703</t>
  </si>
  <si>
    <t>PYC3702</t>
  </si>
  <si>
    <t>PYC3701</t>
  </si>
  <si>
    <t>PYC370-4</t>
  </si>
  <si>
    <t>PYC370-3</t>
  </si>
  <si>
    <t>PYC306E</t>
  </si>
  <si>
    <t>PYC305D</t>
  </si>
  <si>
    <t>PYC305-D</t>
  </si>
  <si>
    <t>PYC304C</t>
  </si>
  <si>
    <t>PYC303B</t>
  </si>
  <si>
    <t>PYC302A</t>
  </si>
  <si>
    <t>PYC302-A</t>
  </si>
  <si>
    <t>PYC3019</t>
  </si>
  <si>
    <t>PYC301-9</t>
  </si>
  <si>
    <t>PYC260-6</t>
  </si>
  <si>
    <t>PYC260-5</t>
  </si>
  <si>
    <t>PYC260-4</t>
  </si>
  <si>
    <t>PYC260-3</t>
  </si>
  <si>
    <t>PYC260-2</t>
  </si>
  <si>
    <t>PYC260-1</t>
  </si>
  <si>
    <t>PYC207C</t>
  </si>
  <si>
    <t>PYC206B</t>
  </si>
  <si>
    <t>PYC205A</t>
  </si>
  <si>
    <t>PYC2049</t>
  </si>
  <si>
    <t>PYC204-9</t>
  </si>
  <si>
    <t>PYC2038</t>
  </si>
  <si>
    <t>PYC203-8</t>
  </si>
  <si>
    <t>PYC2026</t>
  </si>
  <si>
    <t>PYC2015</t>
  </si>
  <si>
    <t>PYC150-2</t>
  </si>
  <si>
    <t>PYC150-1</t>
  </si>
  <si>
    <t>PYC1023</t>
  </si>
  <si>
    <t>PYC101Y</t>
  </si>
  <si>
    <t>PYC 3716</t>
  </si>
  <si>
    <t>PYC 3706</t>
  </si>
  <si>
    <t>PYC 3705</t>
  </si>
  <si>
    <t>PYC 3704</t>
  </si>
  <si>
    <t>PYC 3703</t>
  </si>
  <si>
    <t>PYC 3702</t>
  </si>
  <si>
    <t>PYC 3701</t>
  </si>
  <si>
    <t>PYC 370-6</t>
  </si>
  <si>
    <t>PYC 370-5</t>
  </si>
  <si>
    <t>PYC 370-4</t>
  </si>
  <si>
    <t>PYC 370-3</t>
  </si>
  <si>
    <t>PYC 370-2</t>
  </si>
  <si>
    <t>PYC 370-1</t>
  </si>
  <si>
    <t>PYC 314</t>
  </si>
  <si>
    <t>PYC 313</t>
  </si>
  <si>
    <t>PYC 311</t>
  </si>
  <si>
    <t>PYC 306E</t>
  </si>
  <si>
    <t>PYC 306-E</t>
  </si>
  <si>
    <t>PYC 306</t>
  </si>
  <si>
    <t>PYC 305D</t>
  </si>
  <si>
    <t>PYC 3050</t>
  </si>
  <si>
    <t>PYC 305-D</t>
  </si>
  <si>
    <t>PYC 305</t>
  </si>
  <si>
    <t>PYC 304C</t>
  </si>
  <si>
    <t>PYC 304-C</t>
  </si>
  <si>
    <t>PYC 304</t>
  </si>
  <si>
    <t>PYC 303B</t>
  </si>
  <si>
    <t>PYC 3038</t>
  </si>
  <si>
    <t>PYC 303-B</t>
  </si>
  <si>
    <t>PYC 303</t>
  </si>
  <si>
    <t>PYC 302A</t>
  </si>
  <si>
    <t>PYC 302-A</t>
  </si>
  <si>
    <t>PYC 302</t>
  </si>
  <si>
    <t>PYC 3019</t>
  </si>
  <si>
    <t>PYC 301-A</t>
  </si>
  <si>
    <t>PYC 301-9</t>
  </si>
  <si>
    <t>PYC 301</t>
  </si>
  <si>
    <t>PYC 300</t>
  </si>
  <si>
    <t>PYC 2606</t>
  </si>
  <si>
    <t>PYC 2605</t>
  </si>
  <si>
    <t>PYC 2604</t>
  </si>
  <si>
    <t>PYC 2603</t>
  </si>
  <si>
    <t>PYC 2602</t>
  </si>
  <si>
    <t>PYC 2601</t>
  </si>
  <si>
    <t>PYC 260-6</t>
  </si>
  <si>
    <t>PYC 260-5</t>
  </si>
  <si>
    <t>PYC 260-4</t>
  </si>
  <si>
    <t>PYC 260-3</t>
  </si>
  <si>
    <t>PYC 260-2</t>
  </si>
  <si>
    <t>PYC 260-1</t>
  </si>
  <si>
    <t>PYC 260</t>
  </si>
  <si>
    <t>PYC 212</t>
  </si>
  <si>
    <t>PYC 211</t>
  </si>
  <si>
    <t>PYC 207C</t>
  </si>
  <si>
    <t>PYC 207-C</t>
  </si>
  <si>
    <t>PYC 207</t>
  </si>
  <si>
    <t>PYC 206B</t>
  </si>
  <si>
    <t>PYC 2068</t>
  </si>
  <si>
    <t>PYC 206-B</t>
  </si>
  <si>
    <t>PYC 206</t>
  </si>
  <si>
    <t>PYC 205A</t>
  </si>
  <si>
    <t>PYC 205-A</t>
  </si>
  <si>
    <t>PYC 205</t>
  </si>
  <si>
    <t>PYC 2049</t>
  </si>
  <si>
    <t>PYC 204-9</t>
  </si>
  <si>
    <t>PYC 204</t>
  </si>
  <si>
    <t>PYC 2038</t>
  </si>
  <si>
    <t>PYC 203-8</t>
  </si>
  <si>
    <t>PYC 203</t>
  </si>
  <si>
    <t>PYC 2026</t>
  </si>
  <si>
    <t>PYC 202-6</t>
  </si>
  <si>
    <t>PYC 202</t>
  </si>
  <si>
    <t>PYC 2015</t>
  </si>
  <si>
    <t>PYC 201-5</t>
  </si>
  <si>
    <t>PYC 201</t>
  </si>
  <si>
    <t>PYC 200</t>
  </si>
  <si>
    <t>PYC 1O2-3</t>
  </si>
  <si>
    <t>PYC 1502</t>
  </si>
  <si>
    <t>PYC 1501</t>
  </si>
  <si>
    <t>PYC 150-2</t>
  </si>
  <si>
    <t>PYC 150-1</t>
  </si>
  <si>
    <t>PYC 12023</t>
  </si>
  <si>
    <t>PYC 1023</t>
  </si>
  <si>
    <t>PYC 102-Y</t>
  </si>
  <si>
    <t>PYC 102-3</t>
  </si>
  <si>
    <t>PYC 102</t>
  </si>
  <si>
    <t>PYC 101Y</t>
  </si>
  <si>
    <t>PYC 101-Y</t>
  </si>
  <si>
    <t>PYC 101</t>
  </si>
  <si>
    <t>PYC 100</t>
  </si>
  <si>
    <t>PTV 312</t>
  </si>
  <si>
    <t>PSYV 101</t>
  </si>
  <si>
    <t>PSYL 300</t>
  </si>
  <si>
    <t>PSYC343H2</t>
  </si>
  <si>
    <t>PSYC341H1</t>
  </si>
  <si>
    <t>PSYC326H1</t>
  </si>
  <si>
    <t>PSYC324H1</t>
  </si>
  <si>
    <t>PSYC322H2</t>
  </si>
  <si>
    <t>PSYC321H2</t>
  </si>
  <si>
    <t>PSYC320H2</t>
  </si>
  <si>
    <t>PSYC319H1</t>
  </si>
  <si>
    <t>PSYC318P1</t>
  </si>
  <si>
    <t>PSYC3034</t>
  </si>
  <si>
    <t>PSYC3023</t>
  </si>
  <si>
    <t>PSYC3022</t>
  </si>
  <si>
    <t>PSYC301P2</t>
  </si>
  <si>
    <t>PSYC301H2</t>
  </si>
  <si>
    <t>PSYC3017</t>
  </si>
  <si>
    <t>PSYC3016</t>
  </si>
  <si>
    <t>PSYC3001</t>
  </si>
  <si>
    <t>PSYC223P1</t>
  </si>
  <si>
    <t>PSYC222P2</t>
  </si>
  <si>
    <t>PSYC208H2</t>
  </si>
  <si>
    <t>PSYC207H1</t>
  </si>
  <si>
    <t>PSYC203H2</t>
  </si>
  <si>
    <t>PSYC202H2</t>
  </si>
  <si>
    <t>PSYC2020</t>
  </si>
  <si>
    <t>PSYC201H1</t>
  </si>
  <si>
    <t>PSYC2006</t>
  </si>
  <si>
    <t>PSYC2005</t>
  </si>
  <si>
    <t>PSYC1A</t>
  </si>
  <si>
    <t>PSYC102H2</t>
  </si>
  <si>
    <t>PSYC101H1</t>
  </si>
  <si>
    <t>PSYC1009</t>
  </si>
  <si>
    <t>PSYC 3G</t>
  </si>
  <si>
    <t>PSYC 3F</t>
  </si>
  <si>
    <t>PSYC 3E</t>
  </si>
  <si>
    <t>PSYC 3D</t>
  </si>
  <si>
    <t>PSYC 3C</t>
  </si>
  <si>
    <t>PSYC 3B</t>
  </si>
  <si>
    <t>PSYC 3A</t>
  </si>
  <si>
    <t>PSYC 3705</t>
  </si>
  <si>
    <t>PSYC 3704</t>
  </si>
  <si>
    <t>PSYC 3703</t>
  </si>
  <si>
    <t>PSYC 3702</t>
  </si>
  <si>
    <t>PSYC 3701</t>
  </si>
  <si>
    <t>PSYC 358</t>
  </si>
  <si>
    <t>PSYC 348</t>
  </si>
  <si>
    <t>PSYC 345P1</t>
  </si>
  <si>
    <t>PSYC 345</t>
  </si>
  <si>
    <t>PSYC 344</t>
  </si>
  <si>
    <t>PSYC 343</t>
  </si>
  <si>
    <t>PSYC 342</t>
  </si>
  <si>
    <t>PSYC 341</t>
  </si>
  <si>
    <t>PSYC 331</t>
  </si>
  <si>
    <t>PSYC 328</t>
  </si>
  <si>
    <t>PSYC 326</t>
  </si>
  <si>
    <t>PSYC 324</t>
  </si>
  <si>
    <t>PSYC 322</t>
  </si>
  <si>
    <t>PSYC 321</t>
  </si>
  <si>
    <t>PSYC 320</t>
  </si>
  <si>
    <t>PSYC 319</t>
  </si>
  <si>
    <t>PSYC 318</t>
  </si>
  <si>
    <t>PSYC 314</t>
  </si>
  <si>
    <t>PSYC 312</t>
  </si>
  <si>
    <t>PSYC 311</t>
  </si>
  <si>
    <t>PSYC 3103</t>
  </si>
  <si>
    <t>PSYC 310</t>
  </si>
  <si>
    <t>PSYC 307</t>
  </si>
  <si>
    <t>PSYC 304P2</t>
  </si>
  <si>
    <t>PSYC 304</t>
  </si>
  <si>
    <t>PSYC 3034</t>
  </si>
  <si>
    <t>PSYC 3031</t>
  </si>
  <si>
    <t>PSYC 3030</t>
  </si>
  <si>
    <t>PSYC 303</t>
  </si>
  <si>
    <t>PSYC 3028</t>
  </si>
  <si>
    <t>PSYC 3025</t>
  </si>
  <si>
    <t>PSYC 3024</t>
  </si>
  <si>
    <t>PSYC 3023</t>
  </si>
  <si>
    <t>PSYC 3021</t>
  </si>
  <si>
    <t>PSYC 302</t>
  </si>
  <si>
    <t>PSYC 3019</t>
  </si>
  <si>
    <t>PSYC 3018</t>
  </si>
  <si>
    <t>PSYC 3017</t>
  </si>
  <si>
    <t>PSYC 3016</t>
  </si>
  <si>
    <t>PSYC 3015</t>
  </si>
  <si>
    <t>PSYC 3013</t>
  </si>
  <si>
    <t>PSYC 301</t>
  </si>
  <si>
    <t>PSYC 3007</t>
  </si>
  <si>
    <t>PSYC 3002</t>
  </si>
  <si>
    <t>PSYC 3001</t>
  </si>
  <si>
    <t>PSYC 300</t>
  </si>
  <si>
    <t>PSYC 3</t>
  </si>
  <si>
    <t>PSYC 2H</t>
  </si>
  <si>
    <t>PSYC 2F</t>
  </si>
  <si>
    <t>PSYC 2D</t>
  </si>
  <si>
    <t>PSYC 2C</t>
  </si>
  <si>
    <t>PSYC 2B</t>
  </si>
  <si>
    <t>PSYC 2A</t>
  </si>
  <si>
    <t>PSYC 2602</t>
  </si>
  <si>
    <t>PSYC 2601</t>
  </si>
  <si>
    <t>PSYC 253</t>
  </si>
  <si>
    <t>PSYC 252</t>
  </si>
  <si>
    <t>PSYC 244</t>
  </si>
  <si>
    <t>PSYC 243</t>
  </si>
  <si>
    <t>PSYC 242</t>
  </si>
  <si>
    <t>PSYC 231</t>
  </si>
  <si>
    <t>PSYC 2250</t>
  </si>
  <si>
    <t>PSYC 223</t>
  </si>
  <si>
    <t>PSYC 222</t>
  </si>
  <si>
    <t>PSYC 221</t>
  </si>
  <si>
    <t>PSYC 220</t>
  </si>
  <si>
    <t>PSYC 219</t>
  </si>
  <si>
    <t>PSYC 218</t>
  </si>
  <si>
    <t>PSYC 215</t>
  </si>
  <si>
    <t>PSYC 214</t>
  </si>
  <si>
    <t>PSYC 213</t>
  </si>
  <si>
    <t>PSYC 212</t>
  </si>
  <si>
    <t>PSYC 211</t>
  </si>
  <si>
    <t>PSYC 210</t>
  </si>
  <si>
    <t>PSYC 209</t>
  </si>
  <si>
    <t>PSYC 208</t>
  </si>
  <si>
    <t>PSYC 207</t>
  </si>
  <si>
    <t>PSYC 205</t>
  </si>
  <si>
    <t>PSYC 204P2</t>
  </si>
  <si>
    <t>PSYC 204</t>
  </si>
  <si>
    <t>PSYC 203</t>
  </si>
  <si>
    <t>PSYC 2021</t>
  </si>
  <si>
    <t>PSYC 2020</t>
  </si>
  <si>
    <t>PSYC 202</t>
  </si>
  <si>
    <t>PSYC 2012</t>
  </si>
  <si>
    <t>PSYC 201</t>
  </si>
  <si>
    <t>PSYC 2006</t>
  </si>
  <si>
    <t>PSYC 2005</t>
  </si>
  <si>
    <t>PSYC 2004</t>
  </si>
  <si>
    <t>PSYC 2001</t>
  </si>
  <si>
    <t>PSYC 200</t>
  </si>
  <si>
    <t>PSYC 2</t>
  </si>
  <si>
    <t>PSYC 1B</t>
  </si>
  <si>
    <t>PSYC 1A</t>
  </si>
  <si>
    <t>PSYC 178</t>
  </si>
  <si>
    <t>PSYC 1502</t>
  </si>
  <si>
    <t>PSYC 1501</t>
  </si>
  <si>
    <t>PSYC 144</t>
  </si>
  <si>
    <t>PSYC 123</t>
  </si>
  <si>
    <t>PSYC 121</t>
  </si>
  <si>
    <t>PSYC 120</t>
  </si>
  <si>
    <t>PSYC 114</t>
  </si>
  <si>
    <t>PSYC 112</t>
  </si>
  <si>
    <t>PSYC 111</t>
  </si>
  <si>
    <t>PSYC 110</t>
  </si>
  <si>
    <t>PSYC 104</t>
  </si>
  <si>
    <t>PSYC 103</t>
  </si>
  <si>
    <t>PSYC 102</t>
  </si>
  <si>
    <t>PSYC 1010</t>
  </si>
  <si>
    <t>PSYC 101</t>
  </si>
  <si>
    <t>PSYC 1009</t>
  </si>
  <si>
    <t>PSYC 1002</t>
  </si>
  <si>
    <t>PSYC 1001</t>
  </si>
  <si>
    <t>PSYC 100</t>
  </si>
  <si>
    <t>PSYC 1</t>
  </si>
  <si>
    <t>PSY3G11</t>
  </si>
  <si>
    <t>PSY3F21</t>
  </si>
  <si>
    <t>PSY3D21</t>
  </si>
  <si>
    <t>PSY3A11</t>
  </si>
  <si>
    <t>PSY3642</t>
  </si>
  <si>
    <t>PSY3641</t>
  </si>
  <si>
    <t>PSY3611</t>
  </si>
  <si>
    <t>PSY3542</t>
  </si>
  <si>
    <t>PSY3511</t>
  </si>
  <si>
    <t>PSY2F21</t>
  </si>
  <si>
    <t>PSY2C11</t>
  </si>
  <si>
    <t>PSY2B21</t>
  </si>
  <si>
    <t>PSY2A11</t>
  </si>
  <si>
    <t>PSY2642</t>
  </si>
  <si>
    <t>PSY2641</t>
  </si>
  <si>
    <t>PSY2542</t>
  </si>
  <si>
    <t>PSY2541</t>
  </si>
  <si>
    <t>PSY2511</t>
  </si>
  <si>
    <t>PSY1641</t>
  </si>
  <si>
    <t>PSY1541</t>
  </si>
  <si>
    <t>PSY 6005</t>
  </si>
  <si>
    <t>PSY 6002</t>
  </si>
  <si>
    <t>PSY 6001</t>
  </si>
  <si>
    <t>PSY 5506</t>
  </si>
  <si>
    <t>PSY 5505</t>
  </si>
  <si>
    <t>PSY 5504</t>
  </si>
  <si>
    <t>PSY 5503</t>
  </si>
  <si>
    <t>PSY 5501</t>
  </si>
  <si>
    <t>PSY 5005</t>
  </si>
  <si>
    <t>PSY 5004</t>
  </si>
  <si>
    <t>PSY 5003</t>
  </si>
  <si>
    <t>PSY 5002</t>
  </si>
  <si>
    <t>PSY 5001</t>
  </si>
  <si>
    <t>PSY 3G11</t>
  </si>
  <si>
    <t>PSY 3G</t>
  </si>
  <si>
    <t>PSY 3F21</t>
  </si>
  <si>
    <t>PSY 3F</t>
  </si>
  <si>
    <t>PSY 3E</t>
  </si>
  <si>
    <t>PSY 3DB3</t>
  </si>
  <si>
    <t>PSY 3D21</t>
  </si>
  <si>
    <t>PSY 3D</t>
  </si>
  <si>
    <t>PSY 3C11</t>
  </si>
  <si>
    <t>PSY 3C</t>
  </si>
  <si>
    <t>PSY 3AA3</t>
  </si>
  <si>
    <t>PSY 3A11</t>
  </si>
  <si>
    <t>PSY 3A</t>
  </si>
  <si>
    <t>PSY 395</t>
  </si>
  <si>
    <t>PSY 393</t>
  </si>
  <si>
    <t>PSY 392</t>
  </si>
  <si>
    <t>PSY 391</t>
  </si>
  <si>
    <t>PSY 371</t>
  </si>
  <si>
    <t>PSY 3706</t>
  </si>
  <si>
    <t>PSY 3705</t>
  </si>
  <si>
    <t>PSY 3704</t>
  </si>
  <si>
    <t>PSY 3703</t>
  </si>
  <si>
    <t>PSY 3701</t>
  </si>
  <si>
    <t>PSY 370-5</t>
  </si>
  <si>
    <t>PSY 370-4</t>
  </si>
  <si>
    <t>PSY 370-3</t>
  </si>
  <si>
    <t>PSY 370-2</t>
  </si>
  <si>
    <t>PSY 370-1</t>
  </si>
  <si>
    <t>PSY 3642</t>
  </si>
  <si>
    <t>PSY 3641</t>
  </si>
  <si>
    <t>PSY 3611</t>
  </si>
  <si>
    <t>PSY 3542</t>
  </si>
  <si>
    <t>PSY 3541</t>
  </si>
  <si>
    <t>PSY 342</t>
  </si>
  <si>
    <t>PSY 341</t>
  </si>
  <si>
    <t>PSY 332</t>
  </si>
  <si>
    <t>PSY 324</t>
  </si>
  <si>
    <t>PSY 323</t>
  </si>
  <si>
    <t>PSY 322</t>
  </si>
  <si>
    <t>PSY 320</t>
  </si>
  <si>
    <t>PSY 316</t>
  </si>
  <si>
    <t>PSY 315</t>
  </si>
  <si>
    <t>PSY 314-E</t>
  </si>
  <si>
    <t>PSY 314</t>
  </si>
  <si>
    <t>PSY 313-D</t>
  </si>
  <si>
    <t>PSY 313</t>
  </si>
  <si>
    <t>PSY 312</t>
  </si>
  <si>
    <t>PSY 311</t>
  </si>
  <si>
    <t>PSY 307</t>
  </si>
  <si>
    <t>PSY 3062</t>
  </si>
  <si>
    <t>PSY 305D</t>
  </si>
  <si>
    <t>PSY 3051</t>
  </si>
  <si>
    <t>PSY 305</t>
  </si>
  <si>
    <t>PSY 304C</t>
  </si>
  <si>
    <t>PSY 3041</t>
  </si>
  <si>
    <t>PSY 304</t>
  </si>
  <si>
    <t>PSY 303B</t>
  </si>
  <si>
    <t>PSY 3032</t>
  </si>
  <si>
    <t>PSY 303</t>
  </si>
  <si>
    <t>PSY 302A</t>
  </si>
  <si>
    <t>PSY 302</t>
  </si>
  <si>
    <t>PSY 3019</t>
  </si>
  <si>
    <t>PSY 3011S</t>
  </si>
  <si>
    <t>PSY 3011</t>
  </si>
  <si>
    <t>PSY 301</t>
  </si>
  <si>
    <t>PSY 300W</t>
  </si>
  <si>
    <t>PSY 3009F</t>
  </si>
  <si>
    <t>PSY 3009</t>
  </si>
  <si>
    <t>PSY 3008F</t>
  </si>
  <si>
    <t>PSY 3008</t>
  </si>
  <si>
    <t>PSY 3007S</t>
  </si>
  <si>
    <t>PSY 3007</t>
  </si>
  <si>
    <t>PSY 3005F</t>
  </si>
  <si>
    <t>PSY 300-8</t>
  </si>
  <si>
    <t>PSY 300</t>
  </si>
  <si>
    <t>PSY 2H21</t>
  </si>
  <si>
    <t>PSY 2H</t>
  </si>
  <si>
    <t>PSY 2F21</t>
  </si>
  <si>
    <t>PSY 2F</t>
  </si>
  <si>
    <t>PSY 2DB2</t>
  </si>
  <si>
    <t>PSY 2D21</t>
  </si>
  <si>
    <t>PSY 2D</t>
  </si>
  <si>
    <t>PSY 2C11</t>
  </si>
  <si>
    <t>PSY 2C</t>
  </si>
  <si>
    <t>PSY 2B</t>
  </si>
  <si>
    <t>PSY 2AA2</t>
  </si>
  <si>
    <t>PSY 2A11</t>
  </si>
  <si>
    <t>PSY 2A</t>
  </si>
  <si>
    <t>PSY 296</t>
  </si>
  <si>
    <t>PSY 294</t>
  </si>
  <si>
    <t>PSY 293</t>
  </si>
  <si>
    <t>PSY 291</t>
  </si>
  <si>
    <t>PSY 2642</t>
  </si>
  <si>
    <t>PSY 2641</t>
  </si>
  <si>
    <t>PSY 2601</t>
  </si>
  <si>
    <t>PSY 260-3</t>
  </si>
  <si>
    <t>PSY 260-1</t>
  </si>
  <si>
    <t>PSY 2542</t>
  </si>
  <si>
    <t>PSY 2541</t>
  </si>
  <si>
    <t>PSY 2511</t>
  </si>
  <si>
    <t>PSY 242</t>
  </si>
  <si>
    <t>PSY 232</t>
  </si>
  <si>
    <t>PSY 231</t>
  </si>
  <si>
    <t>PSY 229</t>
  </si>
  <si>
    <t>PSY 224</t>
  </si>
  <si>
    <t>PSY 222</t>
  </si>
  <si>
    <t>PSY 221</t>
  </si>
  <si>
    <t>PSY 215</t>
  </si>
  <si>
    <t>PSY 212-9</t>
  </si>
  <si>
    <t>PSY 212</t>
  </si>
  <si>
    <t>PSY 2112</t>
  </si>
  <si>
    <t>PSY 211-8</t>
  </si>
  <si>
    <t>PSY 211</t>
  </si>
  <si>
    <t>PSY 209</t>
  </si>
  <si>
    <t>PSY 207</t>
  </si>
  <si>
    <t>PSY 206B</t>
  </si>
  <si>
    <t>PSY 2051</t>
  </si>
  <si>
    <t>PSY 2049</t>
  </si>
  <si>
    <t>PSY 2042</t>
  </si>
  <si>
    <t>PSY 204</t>
  </si>
  <si>
    <t>PSY 2031</t>
  </si>
  <si>
    <t>PSY 203</t>
  </si>
  <si>
    <t>PSY 2026</t>
  </si>
  <si>
    <t>PSY 202</t>
  </si>
  <si>
    <t>PSY 2015</t>
  </si>
  <si>
    <t>PSY 2011F</t>
  </si>
  <si>
    <t>PSY 2011</t>
  </si>
  <si>
    <t>PSY 2010S</t>
  </si>
  <si>
    <t>PSY 2010</t>
  </si>
  <si>
    <t>PSY 201</t>
  </si>
  <si>
    <t>PSY 200W</t>
  </si>
  <si>
    <t>PSY 2009F</t>
  </si>
  <si>
    <t>PSY 2006F</t>
  </si>
  <si>
    <t>PSY 2006</t>
  </si>
  <si>
    <t>PSY 2005</t>
  </si>
  <si>
    <t>PSY 2003S</t>
  </si>
  <si>
    <t>PSY 2003</t>
  </si>
  <si>
    <t>PSY 200-4</t>
  </si>
  <si>
    <t>PSY 200</t>
  </si>
  <si>
    <t>PSY 1BB1</t>
  </si>
  <si>
    <t>PSY 1B21</t>
  </si>
  <si>
    <t>PSY 1B</t>
  </si>
  <si>
    <t>PSY 1AA1</t>
  </si>
  <si>
    <t>PSY 1A11</t>
  </si>
  <si>
    <t>PSY 1A</t>
  </si>
  <si>
    <t>PSY 195</t>
  </si>
  <si>
    <t>PSY 193</t>
  </si>
  <si>
    <t>PSY 192</t>
  </si>
  <si>
    <t>PSY 191</t>
  </si>
  <si>
    <t>PSY 180</t>
  </si>
  <si>
    <t>PSY 170</t>
  </si>
  <si>
    <t>PSY 1641</t>
  </si>
  <si>
    <t>PSY 1541</t>
  </si>
  <si>
    <t>PSY 152</t>
  </si>
  <si>
    <t>PSY 1502</t>
  </si>
  <si>
    <t>PSY 150-2</t>
  </si>
  <si>
    <t>PSY 150-1</t>
  </si>
  <si>
    <t>PSY 142</t>
  </si>
  <si>
    <t>PSY 140</t>
  </si>
  <si>
    <t>PSY 132</t>
  </si>
  <si>
    <t>PSY 124</t>
  </si>
  <si>
    <t>PSY 122</t>
  </si>
  <si>
    <t>PSY 112</t>
  </si>
  <si>
    <t>PSY 111</t>
  </si>
  <si>
    <t>PSY 108</t>
  </si>
  <si>
    <t>PSY 105</t>
  </si>
  <si>
    <t>PSY 104</t>
  </si>
  <si>
    <t>PSY 103</t>
  </si>
  <si>
    <t>PSY 1023</t>
  </si>
  <si>
    <t>PSY 1022</t>
  </si>
  <si>
    <t>PSY 102</t>
  </si>
  <si>
    <t>PSY 101W</t>
  </si>
  <si>
    <t>PSY 1011</t>
  </si>
  <si>
    <t>PSY 101</t>
  </si>
  <si>
    <t>PSY 1005S</t>
  </si>
  <si>
    <t>PSY 1005</t>
  </si>
  <si>
    <t>PSY 1004F</t>
  </si>
  <si>
    <t>PSY 1004</t>
  </si>
  <si>
    <t>PSY 1001W</t>
  </si>
  <si>
    <t>PSY 1001</t>
  </si>
  <si>
    <t>PSY 100-X</t>
  </si>
  <si>
    <t>PSY 100</t>
  </si>
  <si>
    <t>PSTH 3724</t>
  </si>
  <si>
    <t>PSSO 2614</t>
  </si>
  <si>
    <t>PSSO 2613</t>
  </si>
  <si>
    <t>PSRM 3714</t>
  </si>
  <si>
    <t>PSPS 3714</t>
  </si>
  <si>
    <t>PSPE 3724</t>
  </si>
  <si>
    <t>PSPA 3714</t>
  </si>
  <si>
    <t>PSIN 1514</t>
  </si>
  <si>
    <t>PSIH 2724</t>
  </si>
  <si>
    <t>PSIG 363</t>
  </si>
  <si>
    <t>PSIG 353</t>
  </si>
  <si>
    <t>PSIG 342</t>
  </si>
  <si>
    <t>PSIG 323</t>
  </si>
  <si>
    <t>PSIG 311</t>
  </si>
  <si>
    <t>PSIG 262</t>
  </si>
  <si>
    <t>PSIG 261</t>
  </si>
  <si>
    <t>PSIG 252</t>
  </si>
  <si>
    <t>PSIG 251</t>
  </si>
  <si>
    <t>PSIG 241</t>
  </si>
  <si>
    <t>PSIG 211</t>
  </si>
  <si>
    <t>PSIG 161</t>
  </si>
  <si>
    <t>PSIG 151</t>
  </si>
  <si>
    <t>PSIG 131</t>
  </si>
  <si>
    <t>PSG 321</t>
  </si>
  <si>
    <t>PSG 311</t>
  </si>
  <si>
    <t>PSG 212</t>
  </si>
  <si>
    <t>PSG 211</t>
  </si>
  <si>
    <t>PSG 121</t>
  </si>
  <si>
    <t>PSG 111</t>
  </si>
  <si>
    <t>PSDE 1624</t>
  </si>
  <si>
    <t>PSCY 202</t>
  </si>
  <si>
    <t>PCYL 300</t>
  </si>
  <si>
    <t>PCYL 200</t>
  </si>
  <si>
    <t>PCYL 100</t>
  </si>
  <si>
    <t>PCLY 300</t>
  </si>
  <si>
    <t>PCLY 200</t>
  </si>
  <si>
    <t>PCLY 100</t>
  </si>
  <si>
    <t>IPS 100</t>
  </si>
  <si>
    <t>IOPS 111</t>
  </si>
  <si>
    <t>INSTITUTE</t>
  </si>
  <si>
    <t>ILIA STATE</t>
  </si>
  <si>
    <t>HPSY 363</t>
  </si>
  <si>
    <t>HPSY 361</t>
  </si>
  <si>
    <t>HPSY 353</t>
  </si>
  <si>
    <t>HPSY 351</t>
  </si>
  <si>
    <t>HPSY 342</t>
  </si>
  <si>
    <t>HPSY 341</t>
  </si>
  <si>
    <t>HPSY 331</t>
  </si>
  <si>
    <t>HPSY 323</t>
  </si>
  <si>
    <t>HPSY 261</t>
  </si>
  <si>
    <t>HPSY 252</t>
  </si>
  <si>
    <t>HPSY 251</t>
  </si>
  <si>
    <t>HPSY 241</t>
  </si>
  <si>
    <t>HPSY 231</t>
  </si>
  <si>
    <t>HPSY 211</t>
  </si>
  <si>
    <t>HPSY 161</t>
  </si>
  <si>
    <t>HPSY 151</t>
  </si>
  <si>
    <t>HPSY 141</t>
  </si>
  <si>
    <t>HPSY 131</t>
  </si>
  <si>
    <t>HPSY 032</t>
  </si>
  <si>
    <t>HPSY 031</t>
  </si>
  <si>
    <t>HPSY 022</t>
  </si>
  <si>
    <t>HPSY 021</t>
  </si>
  <si>
    <t>HPSY 012</t>
  </si>
  <si>
    <t>HPSY 011</t>
  </si>
  <si>
    <t>HPSB 032</t>
  </si>
  <si>
    <t>HPSB 031</t>
  </si>
  <si>
    <t>HPSB 022</t>
  </si>
  <si>
    <t>HPSB 021</t>
  </si>
  <si>
    <t>HPSB 000</t>
  </si>
  <si>
    <t>HPSA O22</t>
  </si>
  <si>
    <t>HPSA 241</t>
  </si>
  <si>
    <t>HPSA 231</t>
  </si>
  <si>
    <t>HPSA 032</t>
  </si>
  <si>
    <t>HPSA 031</t>
  </si>
  <si>
    <t>HPSA 022</t>
  </si>
  <si>
    <t>HPSA 021</t>
  </si>
  <si>
    <t>HPSA 000</t>
  </si>
  <si>
    <t>GS12A11</t>
  </si>
  <si>
    <t>GNS2B21</t>
  </si>
  <si>
    <t>ECAP 2614</t>
  </si>
  <si>
    <t>CORM 211</t>
  </si>
  <si>
    <t>BPS 3844</t>
  </si>
  <si>
    <t>BPS 3843</t>
  </si>
  <si>
    <t>BPS 3842</t>
  </si>
  <si>
    <t>BPS 3841</t>
  </si>
  <si>
    <t>BPS 2845</t>
  </si>
  <si>
    <t>BPS 2844</t>
  </si>
  <si>
    <t>BPS 2843</t>
  </si>
  <si>
    <t>BPS 2842</t>
  </si>
  <si>
    <t>BPS 2841</t>
  </si>
  <si>
    <t>BPS 1845</t>
  </si>
  <si>
    <t>BPS 1844</t>
  </si>
  <si>
    <t>BPS 1843</t>
  </si>
  <si>
    <t>BPS 1842</t>
  </si>
  <si>
    <t>BPS 1841</t>
  </si>
  <si>
    <t>APSY 332</t>
  </si>
  <si>
    <t>APSY 331</t>
  </si>
  <si>
    <t>APSY 322</t>
  </si>
  <si>
    <t>APSY 321</t>
  </si>
  <si>
    <t>APSY 312</t>
  </si>
  <si>
    <t>APSY 311</t>
  </si>
  <si>
    <t>APSY 232</t>
  </si>
  <si>
    <t>APSY 222</t>
  </si>
  <si>
    <t>APSY 221</t>
  </si>
  <si>
    <t>APSY 212</t>
  </si>
  <si>
    <t>APSY 211</t>
  </si>
  <si>
    <t>APSY 112</t>
  </si>
  <si>
    <t>APSY 111</t>
  </si>
  <si>
    <t>Year</t>
  </si>
  <si>
    <t>Enter student details Here:</t>
  </si>
  <si>
    <t>Name:</t>
  </si>
  <si>
    <t>Surname:</t>
  </si>
  <si>
    <t>Grade</t>
  </si>
  <si>
    <t>Field Choice:</t>
  </si>
  <si>
    <t>Section A:</t>
  </si>
  <si>
    <t>Year:</t>
  </si>
  <si>
    <t>Grade:</t>
  </si>
  <si>
    <t>University:</t>
  </si>
  <si>
    <t>Hons:</t>
  </si>
  <si>
    <t>Location:</t>
  </si>
  <si>
    <t>Section B:</t>
  </si>
  <si>
    <t>Work Experience:</t>
  </si>
  <si>
    <t>Academic (Non psychology):</t>
  </si>
  <si>
    <t>Subject</t>
  </si>
  <si>
    <t>Honours/B.Psyc</t>
  </si>
  <si>
    <t>Work Experience</t>
  </si>
  <si>
    <t>Weight</t>
  </si>
  <si>
    <t>Psychologist</t>
  </si>
  <si>
    <t>Registered counsellor</t>
  </si>
  <si>
    <t>Social worker</t>
  </si>
  <si>
    <t>Medical doctor</t>
  </si>
  <si>
    <t>Teacher/lecturer</t>
  </si>
  <si>
    <t>(B.Ed/NGOS)</t>
  </si>
  <si>
    <t>Speech therapist</t>
  </si>
  <si>
    <t>Occupational therapist</t>
  </si>
  <si>
    <t>Traditional healers (registered at Traditional Health practitioner of SA</t>
  </si>
  <si>
    <t>Dentist</t>
  </si>
  <si>
    <t>Nursing</t>
  </si>
  <si>
    <t>Psychometrist</t>
  </si>
  <si>
    <t>Research psychologist</t>
  </si>
  <si>
    <t>Radiographer</t>
  </si>
  <si>
    <t>Internship in a helper profession</t>
  </si>
  <si>
    <t>Other Professional</t>
  </si>
  <si>
    <t>Au pair</t>
  </si>
  <si>
    <t>Volunteer at a care facility</t>
  </si>
  <si>
    <t>SJGD</t>
  </si>
  <si>
    <t>Any voluntary work in a helping capacity</t>
  </si>
  <si>
    <t>Counselling position and registered with any board (i.e. Lifeline)</t>
  </si>
  <si>
    <t>Auxiliary worker (Allied health professions)</t>
  </si>
  <si>
    <t>Police</t>
  </si>
  <si>
    <t>Pastoral or religious counsellors</t>
  </si>
  <si>
    <t>Practical work as part of social work and teaching</t>
  </si>
  <si>
    <t>Other Non-Professional</t>
  </si>
  <si>
    <t>Waiter</t>
  </si>
  <si>
    <t>Accountant</t>
  </si>
  <si>
    <t>Sales</t>
  </si>
  <si>
    <t>Lawyer</t>
  </si>
  <si>
    <t>Student facilitator</t>
  </si>
  <si>
    <t>Other General</t>
  </si>
  <si>
    <t>Academic Experience</t>
  </si>
  <si>
    <t>PhD</t>
  </si>
  <si>
    <t>Masters</t>
  </si>
  <si>
    <t>Field Choice</t>
  </si>
  <si>
    <t>Counselling</t>
  </si>
  <si>
    <t>No Preference</t>
  </si>
  <si>
    <t xml:space="preserve">Subject </t>
  </si>
  <si>
    <t>K</t>
  </si>
  <si>
    <t>V</t>
  </si>
  <si>
    <t>K/V</t>
  </si>
  <si>
    <t>PUK Hons Last Year</t>
  </si>
  <si>
    <t>PUK Hons Before Last Year</t>
  </si>
  <si>
    <t>DEPT Form</t>
  </si>
  <si>
    <t>PreGrad</t>
  </si>
  <si>
    <t>PostGrad</t>
  </si>
  <si>
    <t>SelfReflection</t>
  </si>
  <si>
    <t>Employer</t>
  </si>
  <si>
    <t>Payment</t>
  </si>
  <si>
    <t>Designation</t>
  </si>
  <si>
    <t>Section A</t>
  </si>
  <si>
    <t>Section B</t>
  </si>
  <si>
    <t>X</t>
  </si>
  <si>
    <t>Y</t>
  </si>
  <si>
    <t>Final Rank</t>
  </si>
  <si>
    <t>Paper Selection</t>
  </si>
  <si>
    <t>Control Panel: Refer to Readme!!!!</t>
  </si>
  <si>
    <t>LineCounter:</t>
  </si>
  <si>
    <t>Unique Years:</t>
  </si>
  <si>
    <t>Current Year:</t>
  </si>
  <si>
    <t>External Hons Last Year</t>
  </si>
  <si>
    <t>Y1</t>
  </si>
  <si>
    <t>Y2</t>
  </si>
  <si>
    <t>Y3</t>
  </si>
  <si>
    <t>YH</t>
  </si>
  <si>
    <t>YPHD</t>
  </si>
  <si>
    <t xml:space="preserve">Section A </t>
  </si>
  <si>
    <t>Name</t>
  </si>
  <si>
    <t>External Hons Before Last Year</t>
  </si>
  <si>
    <t>Masters (Psyc) Mark:</t>
  </si>
  <si>
    <t>PhD (Psyc) Completed: 0 OR 1</t>
  </si>
  <si>
    <t>M Completed:</t>
  </si>
  <si>
    <t>PhD:</t>
  </si>
  <si>
    <t>Work Exp Weight</t>
  </si>
  <si>
    <t>Work Exp Type</t>
  </si>
  <si>
    <t>Academic Exp Weight</t>
  </si>
  <si>
    <t>Academic Exp Type</t>
  </si>
  <si>
    <t>Final Score:</t>
  </si>
  <si>
    <t>Subject Info:</t>
  </si>
  <si>
    <t>Y1 Count:</t>
  </si>
  <si>
    <t>Y3 Count:</t>
  </si>
  <si>
    <t>Hons Count:</t>
  </si>
  <si>
    <t>Y2 Count:</t>
  </si>
  <si>
    <t>Default 2</t>
  </si>
  <si>
    <t>YM AVG</t>
  </si>
  <si>
    <t>Clinical</t>
  </si>
  <si>
    <t>Designation2</t>
  </si>
  <si>
    <t>asdfafdf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</si>
</sst>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Border="1"/>
    <xf numFmtId="0" fontId="3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0" borderId="0" xfId="0" applyFont="1" applyProtection="1">
      <protection locked="0"/>
    </xf>
    <xf numFmtId="0" fontId="0" fillId="2" borderId="3" xfId="0" applyFont="1" applyFill="1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Font="1" applyProtection="1"/>
    <xf numFmtId="0" fontId="1" fillId="0" borderId="1" xfId="0" applyFont="1" applyBorder="1" applyProtection="1"/>
    <xf numFmtId="0" fontId="0" fillId="0" borderId="2" xfId="0" applyFont="1" applyBorder="1" applyProtection="1"/>
    <xf numFmtId="0" fontId="0" fillId="0" borderId="0" xfId="0" applyFont="1" applyBorder="1" applyProtection="1"/>
    <xf numFmtId="0" fontId="1" fillId="0" borderId="0" xfId="0" applyFont="1" applyBorder="1" applyProtection="1"/>
    <xf numFmtId="0" fontId="0" fillId="0" borderId="1" xfId="0" applyFont="1" applyBorder="1" applyProtection="1"/>
    <xf numFmtId="0" fontId="0" fillId="5" borderId="0" xfId="0" applyFont="1" applyFill="1" applyProtection="1">
      <protection locked="0"/>
    </xf>
    <xf numFmtId="0" fontId="0" fillId="0" borderId="5" xfId="0" applyBorder="1"/>
    <xf numFmtId="0" fontId="0" fillId="0" borderId="6" xfId="0" applyBorder="1"/>
    <xf numFmtId="0" fontId="0" fillId="4" borderId="7" xfId="0" applyFill="1" applyBorder="1"/>
    <xf numFmtId="0" fontId="0" fillId="3" borderId="0" xfId="0" applyFill="1" applyBorder="1"/>
    <xf numFmtId="0" fontId="0" fillId="4" borderId="0" xfId="0" applyFill="1" applyBorder="1"/>
    <xf numFmtId="0" fontId="0" fillId="3" borderId="8" xfId="0" applyFill="1" applyBorder="1"/>
    <xf numFmtId="0" fontId="0" fillId="4" borderId="9" xfId="0" applyFill="1" applyBorder="1"/>
    <xf numFmtId="0" fontId="0" fillId="0" borderId="10" xfId="0" applyBorder="1"/>
    <xf numFmtId="0" fontId="0" fillId="3" borderId="10" xfId="0" applyFill="1" applyBorder="1"/>
    <xf numFmtId="0" fontId="0" fillId="4" borderId="10" xfId="0" applyFill="1" applyBorder="1"/>
    <xf numFmtId="0" fontId="0" fillId="3" borderId="11" xfId="0" applyFill="1" applyBorder="1"/>
    <xf numFmtId="0" fontId="1" fillId="0" borderId="12" xfId="0" applyFont="1" applyBorder="1" applyProtection="1"/>
    <xf numFmtId="0" fontId="1" fillId="0" borderId="13" xfId="0" applyFont="1" applyBorder="1" applyProtection="1"/>
    <xf numFmtId="0" fontId="1" fillId="4" borderId="4" xfId="0" applyFont="1" applyFill="1" applyBorder="1" applyProtection="1"/>
    <xf numFmtId="0" fontId="1" fillId="4" borderId="5" xfId="0" applyFont="1" applyFill="1" applyBorder="1" applyProtection="1"/>
    <xf numFmtId="0" fontId="1" fillId="4" borderId="6" xfId="0" applyFont="1" applyFill="1" applyBorder="1" applyProtection="1"/>
    <xf numFmtId="0" fontId="0" fillId="0" borderId="13" xfId="0" applyFont="1" applyBorder="1" applyProtection="1"/>
    <xf numFmtId="0" fontId="0" fillId="0" borderId="14" xfId="0" applyFont="1" applyBorder="1" applyProtection="1"/>
    <xf numFmtId="0" fontId="0" fillId="0" borderId="7" xfId="0" applyFont="1" applyBorder="1" applyProtection="1"/>
    <xf numFmtId="0" fontId="0" fillId="2" borderId="15" xfId="0" applyFont="1" applyFill="1" applyBorder="1" applyProtection="1">
      <protection locked="0"/>
    </xf>
    <xf numFmtId="2" fontId="0" fillId="2" borderId="15" xfId="0" applyNumberFormat="1" applyFont="1" applyFill="1" applyBorder="1" applyProtection="1">
      <protection locked="0"/>
    </xf>
    <xf numFmtId="0" fontId="0" fillId="0" borderId="8" xfId="0" applyFont="1" applyBorder="1" applyProtection="1"/>
    <xf numFmtId="0" fontId="0" fillId="0" borderId="9" xfId="0" applyFont="1" applyBorder="1" applyProtection="1"/>
    <xf numFmtId="0" fontId="0" fillId="0" borderId="10" xfId="0" applyFont="1" applyBorder="1" applyProtection="1"/>
    <xf numFmtId="0" fontId="0" fillId="0" borderId="11" xfId="0" applyFont="1" applyBorder="1" applyProtection="1"/>
    <xf numFmtId="0" fontId="1" fillId="0" borderId="16" xfId="0" applyFont="1" applyBorder="1" applyProtection="1"/>
    <xf numFmtId="0" fontId="0" fillId="0" borderId="17" xfId="0" applyFont="1" applyBorder="1" applyProtection="1"/>
    <xf numFmtId="0" fontId="1" fillId="0" borderId="19" xfId="0" applyFont="1" applyBorder="1" applyProtection="1"/>
    <xf numFmtId="0" fontId="1" fillId="0" borderId="20" xfId="0" applyFont="1" applyBorder="1" applyProtection="1"/>
    <xf numFmtId="0" fontId="0" fillId="0" borderId="21" xfId="0" applyFont="1" applyBorder="1" applyProtection="1"/>
    <xf numFmtId="0" fontId="0" fillId="0" borderId="23" xfId="0" applyFont="1" applyBorder="1" applyProtection="1"/>
    <xf numFmtId="0" fontId="0" fillId="0" borderId="0" xfId="0" applyProtection="1"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2" borderId="22" xfId="0" applyFont="1" applyFill="1" applyBorder="1" applyAlignment="1" applyProtection="1">
      <alignment horizontal="center"/>
      <protection locked="0"/>
    </xf>
    <xf numFmtId="0" fontId="0" fillId="2" borderId="2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/>
    </xf>
    <xf numFmtId="0" fontId="0" fillId="2" borderId="17" xfId="0" applyFont="1" applyFill="1" applyBorder="1" applyProtection="1">
      <protection locked="0"/>
    </xf>
    <xf numFmtId="0" fontId="0" fillId="2" borderId="18" xfId="0" applyFont="1" applyFill="1" applyBorder="1" applyProtection="1">
      <protection locked="0"/>
    </xf>
    <xf numFmtId="0" fontId="0" fillId="2" borderId="2" xfId="0" applyFont="1" applyFill="1" applyBorder="1" applyProtection="1">
      <protection locked="0"/>
    </xf>
    <xf numFmtId="0" fontId="0" fillId="2" borderId="15" xfId="0" applyFont="1" applyFill="1" applyBorder="1" applyProtection="1">
      <protection locked="0"/>
    </xf>
    <xf numFmtId="0" fontId="0" fillId="2" borderId="21" xfId="0" applyFont="1" applyFill="1" applyBorder="1" applyProtection="1">
      <protection locked="0"/>
    </xf>
    <xf numFmtId="0" fontId="0" fillId="2" borderId="22" xfId="0" applyFont="1" applyFill="1" applyBorder="1" applyProtection="1">
      <protection locked="0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6" borderId="0" xfId="0" applyFill="1"/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800100</xdr:colOff>
          <xdr:row>4</xdr:row>
          <xdr:rowOff>190500</xdr:rowOff>
        </xdr:from>
        <xdr:to>
          <xdr:col>8</xdr:col>
          <xdr:colOff>457200</xdr:colOff>
          <xdr:row>7</xdr:row>
          <xdr:rowOff>9525</xdr:rowOff>
        </xdr:to>
        <xdr:sp macro="" textlink="">
          <xdr:nvSpPr>
            <xdr:cNvPr id="2053" name="Button 5" descr="Add Subjec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171450</xdr:rowOff>
        </xdr:from>
        <xdr:to>
          <xdr:col>8</xdr:col>
          <xdr:colOff>466725</xdr:colOff>
          <xdr:row>3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13</xdr:row>
          <xdr:rowOff>180975</xdr:rowOff>
        </xdr:from>
        <xdr:to>
          <xdr:col>8</xdr:col>
          <xdr:colOff>428625</xdr:colOff>
          <xdr:row>18</xdr:row>
          <xdr:rowOff>180975</xdr:rowOff>
        </xdr:to>
        <xdr:sp macro="" textlink="">
          <xdr:nvSpPr>
            <xdr:cNvPr id="2059" name="expor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800100</xdr:colOff>
          <xdr:row>8</xdr:row>
          <xdr:rowOff>0</xdr:rowOff>
        </xdr:from>
        <xdr:to>
          <xdr:col>8</xdr:col>
          <xdr:colOff>447675</xdr:colOff>
          <xdr:row>10</xdr:row>
          <xdr:rowOff>0</xdr:rowOff>
        </xdr:to>
        <xdr:sp macro="" textlink="">
          <xdr:nvSpPr>
            <xdr:cNvPr id="2063" name="undo_mar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Subject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690B1F-4C8F-4B0E-A071-76C063C33174}" name="SubList" displayName="SubList" ref="A1:A713" totalsRowShown="0">
  <autoFilter ref="A1:A713" xr:uid="{35C14374-964E-4968-914E-C3C324B9979A}"/>
  <tableColumns count="1">
    <tableColumn id="1" xr3:uid="{6381B913-516A-4AEB-9A13-0B9663514E13}" name="Subjec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CC5159-E241-46A4-A284-BD01260E9945}" name="year" displayName="year" ref="C1:C5" totalsRowShown="0">
  <autoFilter ref="C1:C5" xr:uid="{A42E384B-01F8-429B-8DEE-65B99FA4F68D}"/>
  <tableColumns count="1">
    <tableColumn id="1" xr3:uid="{950A238A-4776-4245-B64E-A71E2F30A247}" name="Ye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5D8EC0-D9FB-40ED-AF75-B5A5D2E66289}" name="workExp" displayName="workExp" ref="E1:F33" totalsRowShown="0">
  <autoFilter ref="E1:F33" xr:uid="{D326D323-86C0-45AA-93D1-453DEF131B50}"/>
  <tableColumns count="2">
    <tableColumn id="1" xr3:uid="{E057B3F6-8290-41A9-8767-65F01D8F6263}" name="Work Experience" dataDxfId="0"/>
    <tableColumn id="2" xr3:uid="{154D589F-2450-492B-AEFF-017231B6ADB2}" name="Weigh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54BAFA-B6A7-4417-90EC-FD5A865C7F09}" name="academicExp" displayName="academicExp" ref="H1:I3" totalsRowShown="0">
  <autoFilter ref="H1:I3" xr:uid="{D49137E6-C960-49B3-B489-D7DA6A5C90F9}"/>
  <tableColumns count="2">
    <tableColumn id="1" xr3:uid="{EB694193-77EE-450A-B094-0DE9B397B8E6}" name="Academic Experience"/>
    <tableColumn id="2" xr3:uid="{5F42FE50-56EA-4A23-B527-20697428FB2C}" name="Weigh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18B47D-339D-456C-9252-1063D12A15C3}" name="fieldChoice" displayName="fieldChoice" ref="K1:K4" totalsRowShown="0">
  <autoFilter ref="K1:K4" xr:uid="{1835F074-E0EE-4D8B-8D3D-BA2ACF2FD3BA}"/>
  <tableColumns count="1">
    <tableColumn id="1" xr3:uid="{F86252AE-80A0-46FA-B0FE-37AE1B0CF373}" name="Field Choi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694158-7E59-4B8E-AD2B-9965B163BA22}" name="studentList" displayName="studentList" ref="A1:V3" totalsRowShown="0">
  <autoFilter ref="A1:V3" xr:uid="{CEA2A092-3012-422C-91BB-B0E5CE4C4420}"/>
  <tableColumns count="22">
    <tableColumn id="1" xr3:uid="{D5C222AB-FC83-471B-BEFE-4BA04B853620}" name="Name"/>
    <tableColumn id="2" xr3:uid="{C937C988-9A5D-45D2-A418-8855E2B5F429}" name="K"/>
    <tableColumn id="3" xr3:uid="{C041EB87-6C9B-4634-AD62-697572ED3657}" name="V"/>
    <tableColumn id="4" xr3:uid="{ECB3AC01-E886-47FD-8823-4E89354ED7D4}" name="K/V"/>
    <tableColumn id="5" xr3:uid="{F3A08D59-ACBE-4EBC-B7DD-1D7311E40DF0}" name="PUK Hons Last Year"/>
    <tableColumn id="6" xr3:uid="{21C193AF-1C52-4EB1-9366-7CC425B9AF49}" name="PUK Hons Before Last Year"/>
    <tableColumn id="7" xr3:uid="{65AA9C10-EDDC-4FF8-A29E-C76D881EB480}" name="External Hons Last Year"/>
    <tableColumn id="8" xr3:uid="{8CFC234E-8CF1-4C06-B7A2-89E4391A7A24}" name="External Hons Before Last Year"/>
    <tableColumn id="23" xr3:uid="{3C7873AA-6C45-4F43-A188-D72F007C5D64}" name="Designation"/>
    <tableColumn id="9" xr3:uid="{D2B57433-B274-462A-BF92-880EEE3EF198}" name="DEPT Form"/>
    <tableColumn id="10" xr3:uid="{6BF4A182-0446-4841-AB7C-DF95800EAB92}" name="PreGrad"/>
    <tableColumn id="11" xr3:uid="{26A4D286-28A4-4178-8BE7-F5EBBB2E77A6}" name="PostGrad"/>
    <tableColumn id="12" xr3:uid="{73721BA9-219C-4C9B-B14E-3622587DF244}" name="SelfReflection"/>
    <tableColumn id="13" xr3:uid="{F8BA12F1-3DE7-4957-B189-2027B9412B50}" name="Employer"/>
    <tableColumn id="14" xr3:uid="{3E34EAAA-168D-4117-89A6-E9DED27864AD}" name="Payment"/>
    <tableColumn id="15" xr3:uid="{F200C72E-F715-4B76-B605-8B7EE62FC763}" name="Designation2"/>
    <tableColumn id="16" xr3:uid="{AE750F7B-9048-4A4B-820C-7178C41B1C49}" name="Section A"/>
    <tableColumn id="17" xr3:uid="{22942B91-C5D1-4348-A543-75753FC669D5}" name="Section B"/>
    <tableColumn id="18" xr3:uid="{BF0FC804-9951-4643-B7AE-6DCF897728E1}" name="X"/>
    <tableColumn id="19" xr3:uid="{693AA21B-A9CD-43E1-906F-FA7E7B81149F}" name="Y"/>
    <tableColumn id="20" xr3:uid="{1CB01B42-2D0C-4F79-95F7-5BEAC2628D7B}" name="Final Rank"/>
    <tableColumn id="21" xr3:uid="{E9E5D6D9-985F-44AE-A484-06132E7B798A}" name="Paper Selec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A30C-69F6-4A5A-A253-E3052C70186B}">
  <sheetPr codeName="Sheet1"/>
  <dimension ref="A1:T101"/>
  <sheetViews>
    <sheetView workbookViewId="0">
      <selection activeCell="F7" sqref="F7"/>
    </sheetView>
  </sheetViews>
  <sheetFormatPr defaultRowHeight="15" x14ac:dyDescent="0.25"/>
  <cols>
    <col min="1" max="2" width="12.140625" style="4" customWidth="1"/>
    <col min="3" max="3" width="15" style="4" customWidth="1"/>
    <col min="4" max="4" width="15.5703125" style="4" customWidth="1"/>
    <col min="5" max="5" width="21.7109375" style="4" customWidth="1"/>
    <col min="6" max="6" width="18.42578125" style="4" customWidth="1"/>
    <col min="7" max="10" width="12.140625" style="4" customWidth="1"/>
    <col min="11" max="11" width="14.85546875" style="4" customWidth="1"/>
    <col min="12" max="12" width="12.140625" style="4" customWidth="1"/>
    <col min="13" max="16384" width="9.140625" style="4"/>
  </cols>
  <sheetData>
    <row r="1" spans="1:20" ht="21" x14ac:dyDescent="0.25">
      <c r="A1" s="50" t="s">
        <v>713</v>
      </c>
      <c r="B1" s="50"/>
      <c r="C1" s="50"/>
      <c r="D1" s="50"/>
      <c r="E1" s="50"/>
      <c r="F1" s="50"/>
      <c r="G1" s="50"/>
      <c r="H1" s="50"/>
      <c r="I1" s="50"/>
      <c r="J1" s="50"/>
      <c r="K1" s="7"/>
      <c r="L1" s="7"/>
      <c r="M1" s="7"/>
    </row>
    <row r="2" spans="1:20" ht="15.75" thickBot="1" x14ac:dyDescent="0.3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1:20" ht="15.75" thickBot="1" x14ac:dyDescent="0.3">
      <c r="A3" s="7"/>
      <c r="B3" s="39" t="s">
        <v>714</v>
      </c>
      <c r="C3" s="40"/>
      <c r="D3" s="51"/>
      <c r="E3" s="51"/>
      <c r="F3" s="52"/>
      <c r="G3" s="7"/>
      <c r="H3" s="7"/>
      <c r="I3" s="7"/>
      <c r="J3" s="7"/>
      <c r="K3" s="7"/>
      <c r="L3" s="7"/>
      <c r="M3" s="7"/>
    </row>
    <row r="4" spans="1:20" ht="15.75" thickBot="1" x14ac:dyDescent="0.3">
      <c r="A4" s="7"/>
      <c r="B4" s="41" t="s">
        <v>715</v>
      </c>
      <c r="C4" s="9"/>
      <c r="D4" s="53"/>
      <c r="E4" s="53"/>
      <c r="F4" s="54"/>
      <c r="G4" s="7"/>
      <c r="H4" s="7"/>
      <c r="I4" s="7"/>
      <c r="J4" s="27" t="s">
        <v>769</v>
      </c>
      <c r="K4" s="28" t="s">
        <v>712</v>
      </c>
      <c r="L4" s="29" t="s">
        <v>716</v>
      </c>
      <c r="M4" s="7"/>
    </row>
    <row r="5" spans="1:20" ht="15.75" thickBot="1" x14ac:dyDescent="0.3">
      <c r="A5" s="7"/>
      <c r="B5" s="42" t="s">
        <v>717</v>
      </c>
      <c r="C5" s="43"/>
      <c r="D5" s="55"/>
      <c r="E5" s="55"/>
      <c r="F5" s="56"/>
      <c r="G5" s="7"/>
      <c r="H5" s="7"/>
      <c r="I5" s="7"/>
      <c r="J5"/>
      <c r="K5"/>
      <c r="L5"/>
      <c r="M5" s="7"/>
    </row>
    <row r="6" spans="1:20" x14ac:dyDescent="0.25">
      <c r="A6" s="7"/>
      <c r="B6" s="7"/>
      <c r="C6" s="7"/>
      <c r="D6" s="7"/>
      <c r="E6" s="7"/>
      <c r="F6" s="7"/>
      <c r="G6" s="7"/>
      <c r="H6" s="7"/>
      <c r="I6" s="7"/>
      <c r="J6"/>
      <c r="K6"/>
      <c r="L6"/>
      <c r="M6" s="7"/>
    </row>
    <row r="7" spans="1:20" ht="15.75" thickBot="1" x14ac:dyDescent="0.3">
      <c r="A7" s="7"/>
      <c r="B7" s="7"/>
      <c r="C7" s="7"/>
      <c r="D7" s="7"/>
      <c r="E7" s="7"/>
      <c r="F7" s="7"/>
      <c r="G7" s="7"/>
      <c r="H7" s="7"/>
      <c r="I7" s="7"/>
      <c r="J7"/>
      <c r="K7"/>
      <c r="L7"/>
      <c r="M7" s="7"/>
    </row>
    <row r="8" spans="1:20" x14ac:dyDescent="0.25">
      <c r="A8" s="25" t="s">
        <v>718</v>
      </c>
      <c r="B8" s="30"/>
      <c r="C8" s="30"/>
      <c r="D8" s="30"/>
      <c r="E8" s="26" t="s">
        <v>810</v>
      </c>
      <c r="F8" s="31"/>
      <c r="G8" s="7"/>
      <c r="H8" s="7"/>
      <c r="I8" s="7"/>
      <c r="J8"/>
      <c r="K8"/>
      <c r="L8"/>
      <c r="M8" s="7"/>
    </row>
    <row r="9" spans="1:20" x14ac:dyDescent="0.25">
      <c r="A9" s="32"/>
      <c r="B9" s="59" t="s">
        <v>801</v>
      </c>
      <c r="C9" s="60"/>
      <c r="D9" s="5"/>
      <c r="E9" s="8" t="s">
        <v>714</v>
      </c>
      <c r="F9" s="33"/>
      <c r="G9" s="7"/>
      <c r="H9" s="7"/>
      <c r="I9" s="7"/>
      <c r="J9"/>
      <c r="K9"/>
      <c r="L9"/>
      <c r="M9" s="7"/>
    </row>
    <row r="10" spans="1:20" s="6" customFormat="1" x14ac:dyDescent="0.25">
      <c r="A10" s="32"/>
      <c r="B10" s="59" t="s">
        <v>802</v>
      </c>
      <c r="C10" s="60"/>
      <c r="D10" s="5"/>
      <c r="E10" s="8" t="s">
        <v>719</v>
      </c>
      <c r="F10" s="33"/>
      <c r="G10" s="7"/>
      <c r="H10" s="7"/>
      <c r="I10" s="7"/>
      <c r="J10"/>
      <c r="K10"/>
      <c r="L10"/>
      <c r="M10" s="7"/>
      <c r="N10" s="4"/>
      <c r="O10" s="4"/>
      <c r="P10" s="4"/>
      <c r="Q10" s="4"/>
      <c r="R10" s="4"/>
      <c r="S10" s="4"/>
      <c r="T10" s="4"/>
    </row>
    <row r="11" spans="1:20" x14ac:dyDescent="0.25">
      <c r="A11" s="32"/>
      <c r="B11" s="10"/>
      <c r="C11" s="10"/>
      <c r="D11" s="10"/>
      <c r="E11" s="8" t="s">
        <v>720</v>
      </c>
      <c r="F11" s="34"/>
      <c r="G11" s="7"/>
      <c r="H11" s="7"/>
      <c r="I11" s="7"/>
      <c r="J11"/>
      <c r="K11"/>
      <c r="L11"/>
      <c r="M11" s="7"/>
    </row>
    <row r="12" spans="1:20" x14ac:dyDescent="0.25">
      <c r="A12" s="32"/>
      <c r="B12" s="10"/>
      <c r="C12" s="10"/>
      <c r="D12" s="10"/>
      <c r="E12" s="10"/>
      <c r="F12" s="35"/>
      <c r="G12" s="7"/>
      <c r="H12" s="7"/>
      <c r="I12"/>
      <c r="J12"/>
      <c r="K12"/>
      <c r="L12"/>
      <c r="M12" s="7"/>
    </row>
    <row r="13" spans="1:20" x14ac:dyDescent="0.25">
      <c r="A13" s="32"/>
      <c r="B13" s="57" t="s">
        <v>721</v>
      </c>
      <c r="C13" s="58"/>
      <c r="D13" s="9"/>
      <c r="E13" s="48"/>
      <c r="F13" s="49"/>
      <c r="G13" s="7"/>
      <c r="H13" s="7"/>
      <c r="I13" s="7"/>
      <c r="J13"/>
      <c r="K13"/>
      <c r="L13"/>
      <c r="M13" s="7"/>
    </row>
    <row r="14" spans="1:20" x14ac:dyDescent="0.25">
      <c r="A14" s="32"/>
      <c r="B14" s="10"/>
      <c r="C14" s="10"/>
      <c r="D14" s="10"/>
      <c r="E14" s="10"/>
      <c r="F14" s="35"/>
      <c r="G14" s="7"/>
      <c r="H14" s="7"/>
      <c r="I14" s="7"/>
      <c r="J14"/>
      <c r="K14"/>
      <c r="L14"/>
      <c r="M14" s="7"/>
    </row>
    <row r="15" spans="1:20" x14ac:dyDescent="0.25">
      <c r="A15" s="32"/>
      <c r="B15" s="11" t="s">
        <v>722</v>
      </c>
      <c r="C15" s="8" t="s">
        <v>723</v>
      </c>
      <c r="D15" s="9"/>
      <c r="E15" s="48"/>
      <c r="F15" s="49"/>
      <c r="G15" s="7"/>
      <c r="H15" s="7"/>
      <c r="I15" s="7"/>
      <c r="J15"/>
      <c r="K15"/>
      <c r="L15"/>
      <c r="M15" s="7"/>
    </row>
    <row r="16" spans="1:20" x14ac:dyDescent="0.25">
      <c r="A16" s="32"/>
      <c r="B16" s="10"/>
      <c r="C16" s="8" t="s">
        <v>719</v>
      </c>
      <c r="D16" s="9"/>
      <c r="E16" s="48"/>
      <c r="F16" s="49"/>
      <c r="G16" s="7"/>
      <c r="H16" s="7"/>
      <c r="I16" s="7"/>
      <c r="J16"/>
      <c r="K16"/>
      <c r="L16"/>
      <c r="M16" s="7"/>
    </row>
    <row r="17" spans="1:13" ht="15.75" thickBot="1" x14ac:dyDescent="0.3">
      <c r="A17" s="36"/>
      <c r="B17" s="37"/>
      <c r="C17" s="37"/>
      <c r="D17" s="37"/>
      <c r="E17" s="37"/>
      <c r="F17" s="38"/>
      <c r="G17" s="7"/>
      <c r="H17" s="7"/>
      <c r="I17" s="7"/>
      <c r="J17"/>
      <c r="K17"/>
      <c r="L17"/>
      <c r="M17" s="7"/>
    </row>
    <row r="18" spans="1:13" ht="15.75" thickBot="1" x14ac:dyDescent="0.3">
      <c r="A18" s="10"/>
      <c r="B18" s="10"/>
      <c r="C18" s="10"/>
      <c r="D18" s="10"/>
      <c r="E18" s="10"/>
      <c r="F18" s="10"/>
      <c r="G18" s="7"/>
      <c r="H18" s="7"/>
      <c r="I18" s="7"/>
      <c r="J18"/>
      <c r="K18"/>
      <c r="L18"/>
      <c r="M18" s="7"/>
    </row>
    <row r="19" spans="1:13" x14ac:dyDescent="0.25">
      <c r="A19" s="25" t="s">
        <v>724</v>
      </c>
      <c r="B19" s="30"/>
      <c r="C19" s="30"/>
      <c r="D19" s="30"/>
      <c r="E19" s="30"/>
      <c r="F19" s="31"/>
      <c r="G19" s="7"/>
      <c r="H19" s="7"/>
      <c r="I19" s="7"/>
      <c r="J19"/>
      <c r="K19"/>
      <c r="L19"/>
      <c r="M19" s="7"/>
    </row>
    <row r="20" spans="1:13" x14ac:dyDescent="0.25">
      <c r="A20" s="32"/>
      <c r="B20" s="12" t="s">
        <v>725</v>
      </c>
      <c r="C20" s="9"/>
      <c r="D20" s="9"/>
      <c r="E20" s="48"/>
      <c r="F20" s="49"/>
      <c r="G20" s="7"/>
      <c r="H20" s="7"/>
      <c r="I20" s="7"/>
      <c r="J20"/>
      <c r="K20"/>
      <c r="L20"/>
      <c r="M20" s="7"/>
    </row>
    <row r="21" spans="1:13" ht="15.75" thickBot="1" x14ac:dyDescent="0.3">
      <c r="A21" s="36"/>
      <c r="B21" s="44" t="s">
        <v>726</v>
      </c>
      <c r="C21" s="43"/>
      <c r="D21" s="43"/>
      <c r="E21" s="46"/>
      <c r="F21" s="47"/>
      <c r="G21" s="7"/>
      <c r="H21" s="7"/>
      <c r="I21" s="7"/>
      <c r="J21"/>
      <c r="K21"/>
      <c r="L21"/>
      <c r="M21" s="7"/>
    </row>
    <row r="22" spans="1:13" x14ac:dyDescent="0.25">
      <c r="A22" s="7"/>
      <c r="B22" s="7"/>
      <c r="C22" s="7"/>
      <c r="D22" s="7"/>
      <c r="E22" s="7"/>
      <c r="F22" s="7"/>
      <c r="G22" s="7"/>
      <c r="H22" s="7"/>
      <c r="I22" s="7"/>
      <c r="J22"/>
      <c r="K22"/>
      <c r="L22"/>
      <c r="M22" s="7"/>
    </row>
    <row r="23" spans="1:13" x14ac:dyDescent="0.25">
      <c r="J23"/>
      <c r="K23"/>
      <c r="L23"/>
    </row>
    <row r="24" spans="1:13" x14ac:dyDescent="0.25">
      <c r="J24"/>
      <c r="K24"/>
      <c r="L24"/>
    </row>
    <row r="25" spans="1:13" x14ac:dyDescent="0.25">
      <c r="J25"/>
      <c r="K25"/>
      <c r="L25"/>
    </row>
    <row r="26" spans="1:13" x14ac:dyDescent="0.25">
      <c r="J26"/>
      <c r="K26"/>
      <c r="L26"/>
    </row>
    <row r="27" spans="1:13" x14ac:dyDescent="0.25">
      <c r="J27"/>
      <c r="K27"/>
      <c r="L27"/>
    </row>
    <row r="28" spans="1:13" x14ac:dyDescent="0.25">
      <c r="J28"/>
      <c r="K28"/>
      <c r="L28"/>
    </row>
    <row r="29" spans="1:13" x14ac:dyDescent="0.25">
      <c r="J29"/>
      <c r="K29"/>
      <c r="L29"/>
    </row>
    <row r="30" spans="1:13" x14ac:dyDescent="0.25">
      <c r="J30" s="45"/>
      <c r="K30" s="45"/>
      <c r="L30" s="45"/>
    </row>
    <row r="31" spans="1:13" x14ac:dyDescent="0.25">
      <c r="J31"/>
      <c r="K31"/>
      <c r="L31"/>
    </row>
    <row r="32" spans="1:13" x14ac:dyDescent="0.25">
      <c r="J32"/>
      <c r="K32"/>
      <c r="L32"/>
    </row>
    <row r="33" spans="10:12" x14ac:dyDescent="0.25">
      <c r="J33"/>
      <c r="K33"/>
      <c r="L33"/>
    </row>
    <row r="34" spans="10:12" x14ac:dyDescent="0.25">
      <c r="J34"/>
      <c r="K34"/>
      <c r="L34"/>
    </row>
    <row r="35" spans="10:12" x14ac:dyDescent="0.25">
      <c r="J35"/>
      <c r="K35"/>
      <c r="L35"/>
    </row>
    <row r="36" spans="10:12" x14ac:dyDescent="0.25">
      <c r="J36"/>
      <c r="K36"/>
      <c r="L36"/>
    </row>
    <row r="37" spans="10:12" x14ac:dyDescent="0.25">
      <c r="J37"/>
      <c r="K37"/>
      <c r="L37"/>
    </row>
    <row r="38" spans="10:12" x14ac:dyDescent="0.25">
      <c r="J38"/>
      <c r="K38"/>
      <c r="L38"/>
    </row>
    <row r="39" spans="10:12" x14ac:dyDescent="0.25">
      <c r="J39"/>
      <c r="K39"/>
      <c r="L39"/>
    </row>
    <row r="40" spans="10:12" x14ac:dyDescent="0.25">
      <c r="J40"/>
      <c r="K40"/>
      <c r="L40"/>
    </row>
    <row r="41" spans="10:12" x14ac:dyDescent="0.25">
      <c r="J41"/>
      <c r="K41"/>
      <c r="L41"/>
    </row>
    <row r="42" spans="10:12" x14ac:dyDescent="0.25">
      <c r="J42"/>
      <c r="K42"/>
      <c r="L42"/>
    </row>
    <row r="43" spans="10:12" x14ac:dyDescent="0.25">
      <c r="J43"/>
      <c r="K43"/>
      <c r="L43"/>
    </row>
    <row r="44" spans="10:12" x14ac:dyDescent="0.25">
      <c r="J44"/>
      <c r="K44"/>
      <c r="L44"/>
    </row>
    <row r="45" spans="10:12" x14ac:dyDescent="0.25">
      <c r="J45"/>
      <c r="K45"/>
      <c r="L45"/>
    </row>
    <row r="46" spans="10:12" x14ac:dyDescent="0.25">
      <c r="J46"/>
      <c r="K46"/>
      <c r="L46"/>
    </row>
    <row r="47" spans="10:12" x14ac:dyDescent="0.25">
      <c r="J47"/>
      <c r="K47"/>
      <c r="L47"/>
    </row>
    <row r="48" spans="10:12" x14ac:dyDescent="0.25">
      <c r="J48"/>
      <c r="K48"/>
      <c r="L48"/>
    </row>
    <row r="49" spans="10:12" x14ac:dyDescent="0.25">
      <c r="J49"/>
      <c r="K49"/>
      <c r="L49"/>
    </row>
    <row r="50" spans="10:12" x14ac:dyDescent="0.25">
      <c r="J50"/>
      <c r="K50"/>
      <c r="L50"/>
    </row>
    <row r="51" spans="10:12" x14ac:dyDescent="0.25">
      <c r="J51"/>
      <c r="K51"/>
      <c r="L51"/>
    </row>
    <row r="52" spans="10:12" x14ac:dyDescent="0.25">
      <c r="J52"/>
      <c r="K52"/>
      <c r="L52"/>
    </row>
    <row r="53" spans="10:12" x14ac:dyDescent="0.25">
      <c r="J53"/>
      <c r="K53"/>
      <c r="L53"/>
    </row>
    <row r="54" spans="10:12" x14ac:dyDescent="0.25">
      <c r="J54"/>
      <c r="K54"/>
      <c r="L54"/>
    </row>
    <row r="55" spans="10:12" x14ac:dyDescent="0.25">
      <c r="J55"/>
      <c r="K55"/>
      <c r="L55"/>
    </row>
    <row r="56" spans="10:12" x14ac:dyDescent="0.25">
      <c r="J56"/>
      <c r="K56"/>
      <c r="L56"/>
    </row>
    <row r="57" spans="10:12" x14ac:dyDescent="0.25">
      <c r="J57"/>
      <c r="K57"/>
      <c r="L57"/>
    </row>
    <row r="58" spans="10:12" x14ac:dyDescent="0.25">
      <c r="J58"/>
      <c r="K58"/>
      <c r="L58"/>
    </row>
    <row r="59" spans="10:12" x14ac:dyDescent="0.25">
      <c r="J59"/>
      <c r="K59"/>
      <c r="L59"/>
    </row>
    <row r="60" spans="10:12" x14ac:dyDescent="0.25">
      <c r="J60"/>
      <c r="K60"/>
      <c r="L60"/>
    </row>
    <row r="61" spans="10:12" x14ac:dyDescent="0.25">
      <c r="J61"/>
      <c r="K61"/>
      <c r="L61"/>
    </row>
    <row r="62" spans="10:12" x14ac:dyDescent="0.25">
      <c r="J62"/>
      <c r="K62"/>
      <c r="L62"/>
    </row>
    <row r="63" spans="10:12" x14ac:dyDescent="0.25">
      <c r="J63"/>
      <c r="K63"/>
      <c r="L63"/>
    </row>
    <row r="64" spans="10:12" x14ac:dyDescent="0.25">
      <c r="J64"/>
      <c r="K64"/>
      <c r="L64"/>
    </row>
    <row r="65" spans="10:12" x14ac:dyDescent="0.25">
      <c r="J65"/>
      <c r="K65"/>
      <c r="L65"/>
    </row>
    <row r="66" spans="10:12" x14ac:dyDescent="0.25">
      <c r="J66"/>
      <c r="K66"/>
      <c r="L66"/>
    </row>
    <row r="67" spans="10:12" x14ac:dyDescent="0.25">
      <c r="J67"/>
      <c r="K67"/>
      <c r="L67"/>
    </row>
    <row r="68" spans="10:12" x14ac:dyDescent="0.25">
      <c r="J68"/>
      <c r="K68"/>
      <c r="L68"/>
    </row>
    <row r="69" spans="10:12" x14ac:dyDescent="0.25">
      <c r="J69"/>
      <c r="K69"/>
      <c r="L69"/>
    </row>
    <row r="70" spans="10:12" x14ac:dyDescent="0.25">
      <c r="J70"/>
      <c r="K70"/>
      <c r="L70"/>
    </row>
    <row r="71" spans="10:12" x14ac:dyDescent="0.25">
      <c r="J71"/>
      <c r="K71"/>
      <c r="L71"/>
    </row>
    <row r="72" spans="10:12" x14ac:dyDescent="0.25">
      <c r="J72"/>
      <c r="K72"/>
      <c r="L72"/>
    </row>
    <row r="73" spans="10:12" x14ac:dyDescent="0.25">
      <c r="J73"/>
      <c r="K73"/>
      <c r="L73"/>
    </row>
    <row r="74" spans="10:12" x14ac:dyDescent="0.25">
      <c r="J74"/>
      <c r="K74"/>
      <c r="L74"/>
    </row>
    <row r="75" spans="10:12" x14ac:dyDescent="0.25">
      <c r="J75"/>
      <c r="K75"/>
      <c r="L75"/>
    </row>
    <row r="76" spans="10:12" x14ac:dyDescent="0.25">
      <c r="J76"/>
      <c r="K76"/>
      <c r="L76"/>
    </row>
    <row r="77" spans="10:12" x14ac:dyDescent="0.25">
      <c r="J77"/>
      <c r="K77"/>
      <c r="L77"/>
    </row>
    <row r="78" spans="10:12" x14ac:dyDescent="0.25">
      <c r="J78"/>
      <c r="K78"/>
      <c r="L78"/>
    </row>
    <row r="79" spans="10:12" x14ac:dyDescent="0.25">
      <c r="J79"/>
      <c r="K79"/>
      <c r="L79"/>
    </row>
    <row r="80" spans="10:12" x14ac:dyDescent="0.25">
      <c r="J80"/>
      <c r="K80"/>
      <c r="L80"/>
    </row>
    <row r="81" spans="10:12" x14ac:dyDescent="0.25">
      <c r="J81"/>
      <c r="K81"/>
      <c r="L81"/>
    </row>
    <row r="82" spans="10:12" x14ac:dyDescent="0.25">
      <c r="J82"/>
      <c r="K82"/>
      <c r="L82"/>
    </row>
    <row r="83" spans="10:12" x14ac:dyDescent="0.25">
      <c r="J83"/>
      <c r="K83"/>
      <c r="L83"/>
    </row>
    <row r="84" spans="10:12" x14ac:dyDescent="0.25">
      <c r="J84"/>
      <c r="K84"/>
      <c r="L84"/>
    </row>
    <row r="85" spans="10:12" x14ac:dyDescent="0.25">
      <c r="J85"/>
      <c r="K85"/>
      <c r="L85"/>
    </row>
    <row r="86" spans="10:12" x14ac:dyDescent="0.25">
      <c r="J86"/>
      <c r="K86"/>
      <c r="L86"/>
    </row>
    <row r="87" spans="10:12" x14ac:dyDescent="0.25">
      <c r="J87"/>
      <c r="K87"/>
      <c r="L87"/>
    </row>
    <row r="88" spans="10:12" x14ac:dyDescent="0.25">
      <c r="J88"/>
      <c r="K88"/>
      <c r="L88"/>
    </row>
    <row r="89" spans="10:12" x14ac:dyDescent="0.25">
      <c r="J89"/>
      <c r="K89"/>
      <c r="L89"/>
    </row>
    <row r="90" spans="10:12" x14ac:dyDescent="0.25">
      <c r="J90"/>
      <c r="K90"/>
      <c r="L90"/>
    </row>
    <row r="91" spans="10:12" x14ac:dyDescent="0.25">
      <c r="J91"/>
      <c r="K91"/>
      <c r="L91"/>
    </row>
    <row r="92" spans="10:12" x14ac:dyDescent="0.25">
      <c r="J92"/>
      <c r="K92"/>
      <c r="L92"/>
    </row>
    <row r="93" spans="10:12" x14ac:dyDescent="0.25">
      <c r="J93"/>
      <c r="K93"/>
      <c r="L93"/>
    </row>
    <row r="94" spans="10:12" x14ac:dyDescent="0.25">
      <c r="J94"/>
      <c r="K94"/>
      <c r="L94"/>
    </row>
    <row r="95" spans="10:12" x14ac:dyDescent="0.25">
      <c r="J95"/>
      <c r="K95"/>
      <c r="L95"/>
    </row>
    <row r="96" spans="10:12" x14ac:dyDescent="0.25">
      <c r="J96"/>
      <c r="K96"/>
      <c r="L96"/>
    </row>
    <row r="97" spans="1:18" x14ac:dyDescent="0.25">
      <c r="J97"/>
      <c r="K97"/>
      <c r="L97"/>
    </row>
    <row r="98" spans="1:18" x14ac:dyDescent="0.25">
      <c r="J98"/>
      <c r="K98"/>
      <c r="L98"/>
    </row>
    <row r="99" spans="1:18" x14ac:dyDescent="0.25">
      <c r="J99"/>
      <c r="K99"/>
      <c r="L99"/>
    </row>
    <row r="100" spans="1:18" x14ac:dyDescent="0.25">
      <c r="J100"/>
      <c r="K100"/>
      <c r="L100"/>
    </row>
    <row r="101" spans="1:18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</row>
  </sheetData>
  <sheetProtection selectLockedCells="1"/>
  <mergeCells count="12">
    <mergeCell ref="E21:F21"/>
    <mergeCell ref="E13:F13"/>
    <mergeCell ref="E15:F15"/>
    <mergeCell ref="E16:F16"/>
    <mergeCell ref="A1:J1"/>
    <mergeCell ref="D3:F3"/>
    <mergeCell ref="D4:F4"/>
    <mergeCell ref="D5:F5"/>
    <mergeCell ref="B13:C13"/>
    <mergeCell ref="E20:F20"/>
    <mergeCell ref="B9:C9"/>
    <mergeCell ref="B10:C10"/>
  </mergeCells>
  <dataValidations count="1">
    <dataValidation type="decimal" allowBlank="1" showErrorMessage="1" sqref="F11" xr:uid="{A6C8AE9C-8B0F-4CE2-BDAC-8F8A43698E4F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import_sub" altText="Add Subject">
                <anchor moveWithCells="1" sizeWithCells="1">
                  <from>
                    <xdr:col>6</xdr:col>
                    <xdr:colOff>800100</xdr:colOff>
                    <xdr:row>4</xdr:row>
                    <xdr:rowOff>190500</xdr:rowOff>
                  </from>
                  <to>
                    <xdr:col>8</xdr:col>
                    <xdr:colOff>457200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new_student">
                <anchor moveWithCells="1" sizeWithCells="1">
                  <from>
                    <xdr:col>7</xdr:col>
                    <xdr:colOff>0</xdr:colOff>
                    <xdr:row>1</xdr:row>
                    <xdr:rowOff>171450</xdr:rowOff>
                  </from>
                  <to>
                    <xdr:col>8</xdr:col>
                    <xdr:colOff>466725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export">
              <controlPr defaultSize="0" print="0" autoFill="0" autoPict="0" macro="[0]!exportStudent">
                <anchor moveWithCells="1" sizeWithCells="1">
                  <from>
                    <xdr:col>6</xdr:col>
                    <xdr:colOff>457200</xdr:colOff>
                    <xdr:row>13</xdr:row>
                    <xdr:rowOff>180975</xdr:rowOff>
                  </from>
                  <to>
                    <xdr:col>8</xdr:col>
                    <xdr:colOff>428625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undo_mark">
              <controlPr defaultSize="0" print="0" autoFill="0" autoPict="0" macro="[0]!undo_mark">
                <anchor moveWithCells="1" sizeWithCells="1">
                  <from>
                    <xdr:col>6</xdr:col>
                    <xdr:colOff>800100</xdr:colOff>
                    <xdr:row>8</xdr:row>
                    <xdr:rowOff>0</xdr:rowOff>
                  </from>
                  <to>
                    <xdr:col>8</xdr:col>
                    <xdr:colOff>447675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F0E39C2-770F-43A4-B384-185220BC67D2}">
          <x14:formula1>
            <xm:f>lists!$C$2:$C$5</xm:f>
          </x14:formula1>
          <xm:sqref>F10</xm:sqref>
        </x14:dataValidation>
        <x14:dataValidation type="list" allowBlank="1" showInputMessage="1" showErrorMessage="1" xr:uid="{90BE6252-9B6F-4DC4-AE84-FC043D642F1F}">
          <x14:formula1>
            <xm:f>lists!$E$2:$E$33</xm:f>
          </x14:formula1>
          <xm:sqref>E20</xm:sqref>
        </x14:dataValidation>
        <x14:dataValidation type="list" allowBlank="1" showInputMessage="1" showErrorMessage="1" xr:uid="{AF32E16D-8B61-4CF1-8002-3C91AD5DFEC1}">
          <x14:formula1>
            <xm:f>lists!$H$2:$H$3</xm:f>
          </x14:formula1>
          <xm:sqref>E21:F21</xm:sqref>
        </x14:dataValidation>
        <x14:dataValidation type="list" allowBlank="1" showInputMessage="1" xr:uid="{212B53B7-BE88-4416-8F0F-062A915CA81A}">
          <x14:formula1>
            <xm:f>lists!$A$2:$A$713</xm:f>
          </x14:formula1>
          <xm:sqref>F9</xm:sqref>
        </x14:dataValidation>
        <x14:dataValidation type="list" allowBlank="1" showInputMessage="1" showErrorMessage="1" xr:uid="{BFEC7274-9922-4B71-A47A-DC715831FAE1}">
          <x14:formula1>
            <xm:f>lists!$K$2:$K$4</xm:f>
          </x14:formula1>
          <xm:sqref>D5:F5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F799-E766-48C0-A44A-29881AB7C119}">
  <sheetPr codeName="Sheet2"/>
  <dimension ref="A1:M713"/>
  <sheetViews>
    <sheetView tabSelected="1" workbookViewId="0">
      <selection activeCell="I9" sqref="I9"/>
    </sheetView>
  </sheetViews>
  <sheetFormatPr defaultRowHeight="15" x14ac:dyDescent="0.25"/>
  <cols>
    <col min="1" max="1" width="9.7109375" customWidth="1"/>
    <col min="3" max="3" width="15" bestFit="1" customWidth="1"/>
    <col min="5" max="5" width="18.42578125" customWidth="1"/>
    <col min="6" max="6" width="9.7109375" customWidth="1"/>
    <col min="8" max="8" width="22" customWidth="1"/>
    <col min="9" max="9" width="29.28515625" customWidth="1"/>
    <col min="10" max="10" width="20.7109375" customWidth="1"/>
    <col min="11" max="11" width="18.140625" bestFit="1" customWidth="1"/>
    <col min="12" max="12" width="14.28515625" bestFit="1" customWidth="1"/>
    <col min="13" max="13" width="2.28515625" customWidth="1"/>
  </cols>
  <sheetData>
    <row r="1" spans="1:13" x14ac:dyDescent="0.25">
      <c r="A1" t="s">
        <v>727</v>
      </c>
      <c r="C1" t="s">
        <v>712</v>
      </c>
      <c r="E1" s="1" t="s">
        <v>729</v>
      </c>
      <c r="F1" t="s">
        <v>730</v>
      </c>
      <c r="H1" t="s">
        <v>763</v>
      </c>
      <c r="I1" t="s">
        <v>730</v>
      </c>
      <c r="K1" t="s">
        <v>766</v>
      </c>
    </row>
    <row r="2" spans="1:13" x14ac:dyDescent="0.25">
      <c r="A2" t="s">
        <v>711</v>
      </c>
      <c r="C2">
        <v>1</v>
      </c>
      <c r="E2" s="2" t="s">
        <v>731</v>
      </c>
      <c r="F2">
        <v>4</v>
      </c>
      <c r="H2" t="s">
        <v>764</v>
      </c>
      <c r="I2">
        <v>3</v>
      </c>
      <c r="K2" t="s">
        <v>767</v>
      </c>
    </row>
    <row r="3" spans="1:13" ht="25.5" x14ac:dyDescent="0.25">
      <c r="A3" t="s">
        <v>710</v>
      </c>
      <c r="C3">
        <v>2</v>
      </c>
      <c r="E3" s="2" t="s">
        <v>732</v>
      </c>
      <c r="F3">
        <v>4</v>
      </c>
      <c r="H3" t="s">
        <v>765</v>
      </c>
      <c r="I3">
        <v>2</v>
      </c>
      <c r="K3" t="s">
        <v>817</v>
      </c>
    </row>
    <row r="4" spans="1:13" x14ac:dyDescent="0.25">
      <c r="A4" t="s">
        <v>709</v>
      </c>
      <c r="C4">
        <v>3</v>
      </c>
      <c r="E4" s="2" t="s">
        <v>733</v>
      </c>
      <c r="F4">
        <v>4</v>
      </c>
      <c r="K4" t="s">
        <v>768</v>
      </c>
    </row>
    <row r="5" spans="1:13" x14ac:dyDescent="0.25">
      <c r="A5" t="s">
        <v>708</v>
      </c>
      <c r="C5" t="s">
        <v>728</v>
      </c>
      <c r="E5" s="2" t="s">
        <v>734</v>
      </c>
      <c r="F5">
        <v>4</v>
      </c>
    </row>
    <row r="6" spans="1:13" x14ac:dyDescent="0.25">
      <c r="A6" t="s">
        <v>707</v>
      </c>
      <c r="E6" s="2" t="s">
        <v>735</v>
      </c>
      <c r="F6">
        <v>4</v>
      </c>
    </row>
    <row r="7" spans="1:13" x14ac:dyDescent="0.25">
      <c r="A7" t="s">
        <v>706</v>
      </c>
      <c r="E7" s="2" t="s">
        <v>736</v>
      </c>
      <c r="F7">
        <v>4</v>
      </c>
    </row>
    <row r="8" spans="1:13" x14ac:dyDescent="0.25">
      <c r="A8" t="s">
        <v>705</v>
      </c>
      <c r="E8" s="2" t="s">
        <v>737</v>
      </c>
      <c r="F8">
        <v>4</v>
      </c>
    </row>
    <row r="9" spans="1:13" ht="25.5" x14ac:dyDescent="0.25">
      <c r="A9" t="s">
        <v>704</v>
      </c>
      <c r="E9" s="2" t="s">
        <v>738</v>
      </c>
      <c r="F9">
        <v>4</v>
      </c>
    </row>
    <row r="10" spans="1:13" ht="51.75" thickBot="1" x14ac:dyDescent="0.3">
      <c r="A10" t="s">
        <v>703</v>
      </c>
      <c r="E10" s="2" t="s">
        <v>739</v>
      </c>
      <c r="F10">
        <v>4</v>
      </c>
    </row>
    <row r="11" spans="1:13" ht="24" thickBot="1" x14ac:dyDescent="0.4">
      <c r="A11" t="s">
        <v>702</v>
      </c>
      <c r="E11" s="2" t="s">
        <v>740</v>
      </c>
      <c r="F11">
        <v>4</v>
      </c>
      <c r="H11" s="61" t="s">
        <v>788</v>
      </c>
      <c r="I11" s="62"/>
      <c r="J11" s="14"/>
      <c r="K11" s="14"/>
      <c r="L11" s="14"/>
      <c r="M11" s="15"/>
    </row>
    <row r="12" spans="1:13" x14ac:dyDescent="0.25">
      <c r="A12" t="s">
        <v>701</v>
      </c>
      <c r="E12" s="2" t="s">
        <v>741</v>
      </c>
      <c r="F12" s="1">
        <v>4</v>
      </c>
      <c r="H12" s="16" t="s">
        <v>789</v>
      </c>
      <c r="I12" s="1">
        <v>2</v>
      </c>
      <c r="J12" s="17" t="s">
        <v>815</v>
      </c>
      <c r="K12" s="18" t="s">
        <v>803</v>
      </c>
      <c r="L12" s="1">
        <f>IF(studentInput!D9&lt;&gt;0,1,0)</f>
        <v>0</v>
      </c>
      <c r="M12" s="19"/>
    </row>
    <row r="13" spans="1:13" x14ac:dyDescent="0.25">
      <c r="A13" t="s">
        <v>700</v>
      </c>
      <c r="E13" s="2" t="s">
        <v>742</v>
      </c>
      <c r="F13" s="1">
        <v>4</v>
      </c>
      <c r="H13" s="16" t="s">
        <v>790</v>
      </c>
      <c r="I13" s="1">
        <f>COUNTIF(L12:L13,"1")+COUNTIF(L16:L19,"1")</f>
        <v>0</v>
      </c>
      <c r="J13" s="17"/>
      <c r="K13" s="18" t="s">
        <v>804</v>
      </c>
      <c r="L13" s="1">
        <f>IF(studentInput!D10&lt;&gt;1,0,1)</f>
        <v>0</v>
      </c>
      <c r="M13" s="19"/>
    </row>
    <row r="14" spans="1:13" ht="25.5" x14ac:dyDescent="0.25">
      <c r="A14" t="s">
        <v>699</v>
      </c>
      <c r="E14" s="2" t="s">
        <v>743</v>
      </c>
      <c r="F14" s="1">
        <v>4</v>
      </c>
      <c r="H14" s="16" t="s">
        <v>791</v>
      </c>
      <c r="I14" s="1">
        <v>2020</v>
      </c>
      <c r="J14" s="17"/>
      <c r="K14" s="18" t="s">
        <v>806</v>
      </c>
      <c r="L14" s="1">
        <f>studentInput!E20</f>
        <v>0</v>
      </c>
      <c r="M14" s="19"/>
    </row>
    <row r="15" spans="1:13" x14ac:dyDescent="0.25">
      <c r="A15" t="s">
        <v>698</v>
      </c>
      <c r="E15" s="2" t="s">
        <v>744</v>
      </c>
      <c r="F15" s="1">
        <v>4</v>
      </c>
      <c r="H15" s="16" t="s">
        <v>793</v>
      </c>
      <c r="I15" s="1">
        <v>0</v>
      </c>
      <c r="J15" s="17"/>
      <c r="K15" s="18" t="s">
        <v>808</v>
      </c>
      <c r="L15" s="1">
        <f>studentInput!E21</f>
        <v>0</v>
      </c>
      <c r="M15" s="19"/>
    </row>
    <row r="16" spans="1:13" ht="25.5" x14ac:dyDescent="0.25">
      <c r="A16" t="s">
        <v>697</v>
      </c>
      <c r="E16" s="2" t="s">
        <v>745</v>
      </c>
      <c r="F16" s="1">
        <v>4</v>
      </c>
      <c r="H16" s="16" t="s">
        <v>794</v>
      </c>
      <c r="I16" s="1">
        <v>0</v>
      </c>
      <c r="J16" s="17"/>
      <c r="K16" s="18" t="s">
        <v>811</v>
      </c>
      <c r="L16" s="1">
        <f>COUNTIF(studentInput!K5:K100,1)</f>
        <v>0</v>
      </c>
      <c r="M16" s="19"/>
    </row>
    <row r="17" spans="1:13" x14ac:dyDescent="0.25">
      <c r="A17" t="s">
        <v>696</v>
      </c>
      <c r="E17" s="3" t="s">
        <v>746</v>
      </c>
      <c r="F17" s="1">
        <v>4</v>
      </c>
      <c r="H17" s="16" t="s">
        <v>795</v>
      </c>
      <c r="I17" s="1">
        <v>0</v>
      </c>
      <c r="J17" s="17"/>
      <c r="K17" s="18" t="s">
        <v>814</v>
      </c>
      <c r="L17" s="1">
        <f>COUNTIF(studentInput!K5:K100,2)</f>
        <v>0</v>
      </c>
      <c r="M17" s="19"/>
    </row>
    <row r="18" spans="1:13" x14ac:dyDescent="0.25">
      <c r="A18" t="s">
        <v>695</v>
      </c>
      <c r="E18" s="2" t="s">
        <v>747</v>
      </c>
      <c r="F18" s="1">
        <v>2</v>
      </c>
      <c r="H18" s="16" t="s">
        <v>796</v>
      </c>
      <c r="I18" s="1">
        <v>0</v>
      </c>
      <c r="J18" s="17"/>
      <c r="K18" s="18" t="s">
        <v>812</v>
      </c>
      <c r="L18" s="1">
        <f>COUNTIF(studentInput!K5:K100,3)</f>
        <v>0</v>
      </c>
      <c r="M18" s="19"/>
    </row>
    <row r="19" spans="1:13" ht="25.5" x14ac:dyDescent="0.25">
      <c r="A19" t="s">
        <v>694</v>
      </c>
      <c r="E19" s="2" t="s">
        <v>748</v>
      </c>
      <c r="F19" s="1">
        <v>2</v>
      </c>
      <c r="H19" s="16" t="s">
        <v>816</v>
      </c>
      <c r="I19" s="1">
        <f>studentInput!D9</f>
        <v>0</v>
      </c>
      <c r="J19" s="17"/>
      <c r="K19" s="18" t="s">
        <v>813</v>
      </c>
      <c r="L19" s="1">
        <f>COUNTIF(studentInput!K5:K100,"Honours/B.Psyc")</f>
        <v>0</v>
      </c>
      <c r="M19" s="19"/>
    </row>
    <row r="20" spans="1:13" x14ac:dyDescent="0.25">
      <c r="A20" t="s">
        <v>693</v>
      </c>
      <c r="E20" s="2" t="s">
        <v>749</v>
      </c>
      <c r="F20" s="1">
        <v>2</v>
      </c>
      <c r="H20" s="16" t="s">
        <v>797</v>
      </c>
      <c r="I20" s="1">
        <f>studentInput!D10</f>
        <v>0</v>
      </c>
      <c r="J20" s="17"/>
      <c r="K20" s="18"/>
      <c r="L20" s="1"/>
      <c r="M20" s="19"/>
    </row>
    <row r="21" spans="1:13" ht="25.5" x14ac:dyDescent="0.25">
      <c r="A21" t="s">
        <v>692</v>
      </c>
      <c r="E21" s="2" t="s">
        <v>750</v>
      </c>
      <c r="F21" s="1">
        <v>2</v>
      </c>
      <c r="H21" s="16" t="s">
        <v>798</v>
      </c>
      <c r="I21" s="1" t="e">
        <f>((((I15/L16)*0.1)+((I16/L17)*0.2)+((I17/L18)*0.3)+((I18/L19)*0.4)+(I19*0.6)+(I20*(70*0.7)))/I13)*4</f>
        <v>#DIV/0!</v>
      </c>
      <c r="J21" s="17"/>
      <c r="K21" s="18"/>
      <c r="L21" s="1"/>
      <c r="M21" s="19"/>
    </row>
    <row r="22" spans="1:13" ht="51" x14ac:dyDescent="0.25">
      <c r="A22" t="s">
        <v>691</v>
      </c>
      <c r="E22" s="2" t="s">
        <v>751</v>
      </c>
      <c r="F22" s="1">
        <v>2</v>
      </c>
      <c r="H22" s="16" t="s">
        <v>784</v>
      </c>
      <c r="I22" s="1" t="e">
        <f>I21/219*100</f>
        <v>#DIV/0!</v>
      </c>
      <c r="J22" s="17"/>
      <c r="K22" s="18"/>
      <c r="L22" s="1"/>
      <c r="M22" s="19"/>
    </row>
    <row r="23" spans="1:13" ht="38.25" x14ac:dyDescent="0.25">
      <c r="A23" t="s">
        <v>690</v>
      </c>
      <c r="E23" s="2" t="s">
        <v>752</v>
      </c>
      <c r="F23" s="1">
        <v>2</v>
      </c>
      <c r="H23" s="16" t="s">
        <v>805</v>
      </c>
      <c r="I23" s="1" t="e">
        <f>VLOOKUP(L14,workExp[],2,FALSE)</f>
        <v>#N/A</v>
      </c>
      <c r="J23" s="17"/>
      <c r="K23" s="18"/>
      <c r="L23" s="1"/>
      <c r="M23" s="19"/>
    </row>
    <row r="24" spans="1:13" x14ac:dyDescent="0.25">
      <c r="A24" t="s">
        <v>689</v>
      </c>
      <c r="E24" s="2" t="s">
        <v>753</v>
      </c>
      <c r="F24" s="1">
        <v>2</v>
      </c>
      <c r="H24" s="16" t="s">
        <v>807</v>
      </c>
      <c r="I24" s="1" t="e">
        <f>VLOOKUP(L15,academicExp[],2,FALSE)</f>
        <v>#N/A</v>
      </c>
      <c r="J24" s="17"/>
      <c r="K24" s="18"/>
      <c r="L24" s="1"/>
      <c r="M24" s="19"/>
    </row>
    <row r="25" spans="1:13" ht="25.5" x14ac:dyDescent="0.25">
      <c r="A25" t="s">
        <v>688</v>
      </c>
      <c r="E25" s="2" t="s">
        <v>754</v>
      </c>
      <c r="F25" s="1">
        <v>2</v>
      </c>
      <c r="H25" s="16" t="s">
        <v>783</v>
      </c>
      <c r="I25" s="1" t="e">
        <f>I24+I23</f>
        <v>#N/A</v>
      </c>
      <c r="J25" s="17"/>
      <c r="K25" s="18"/>
      <c r="L25" s="1"/>
      <c r="M25" s="19"/>
    </row>
    <row r="26" spans="1:13" ht="38.25" x14ac:dyDescent="0.25">
      <c r="A26" t="s">
        <v>687</v>
      </c>
      <c r="E26" s="2" t="s">
        <v>755</v>
      </c>
      <c r="F26" s="1">
        <v>2</v>
      </c>
      <c r="H26" s="16" t="s">
        <v>785</v>
      </c>
      <c r="I26" s="1" t="e">
        <f>I25/7*100</f>
        <v>#N/A</v>
      </c>
      <c r="J26" s="17"/>
      <c r="K26" s="18"/>
      <c r="L26" s="1"/>
      <c r="M26" s="19"/>
    </row>
    <row r="27" spans="1:13" ht="26.25" thickBot="1" x14ac:dyDescent="0.3">
      <c r="A27" t="s">
        <v>686</v>
      </c>
      <c r="E27" s="3" t="s">
        <v>756</v>
      </c>
      <c r="F27" s="1">
        <v>2</v>
      </c>
      <c r="H27" s="20" t="s">
        <v>809</v>
      </c>
      <c r="I27" s="21" t="e">
        <f>(3*I22) + I26</f>
        <v>#DIV/0!</v>
      </c>
      <c r="J27" s="22"/>
      <c r="K27" s="23"/>
      <c r="L27" s="21"/>
      <c r="M27" s="24"/>
    </row>
    <row r="28" spans="1:13" x14ac:dyDescent="0.25">
      <c r="A28" t="s">
        <v>685</v>
      </c>
      <c r="E28" s="2" t="s">
        <v>757</v>
      </c>
      <c r="F28" s="1">
        <v>1</v>
      </c>
    </row>
    <row r="29" spans="1:13" x14ac:dyDescent="0.25">
      <c r="A29" t="s">
        <v>684</v>
      </c>
      <c r="E29" s="2" t="s">
        <v>758</v>
      </c>
      <c r="F29" s="1">
        <v>1</v>
      </c>
    </row>
    <row r="30" spans="1:13" x14ac:dyDescent="0.25">
      <c r="A30" t="s">
        <v>683</v>
      </c>
      <c r="E30" s="2" t="s">
        <v>759</v>
      </c>
      <c r="F30" s="1">
        <v>1</v>
      </c>
    </row>
    <row r="31" spans="1:13" x14ac:dyDescent="0.25">
      <c r="A31" t="s">
        <v>682</v>
      </c>
      <c r="E31" s="2" t="s">
        <v>760</v>
      </c>
      <c r="F31" s="1">
        <v>1</v>
      </c>
    </row>
    <row r="32" spans="1:13" x14ac:dyDescent="0.25">
      <c r="A32" t="s">
        <v>681</v>
      </c>
      <c r="E32" s="2" t="s">
        <v>761</v>
      </c>
      <c r="F32" s="1">
        <v>1</v>
      </c>
    </row>
    <row r="33" spans="1:6" x14ac:dyDescent="0.25">
      <c r="A33" t="s">
        <v>680</v>
      </c>
      <c r="E33" s="3" t="s">
        <v>762</v>
      </c>
      <c r="F33" s="1">
        <v>1</v>
      </c>
    </row>
    <row r="34" spans="1:6" x14ac:dyDescent="0.25">
      <c r="A34" t="s">
        <v>679</v>
      </c>
    </row>
    <row r="35" spans="1:6" x14ac:dyDescent="0.25">
      <c r="A35" t="s">
        <v>678</v>
      </c>
    </row>
    <row r="36" spans="1:6" x14ac:dyDescent="0.25">
      <c r="A36" t="s">
        <v>677</v>
      </c>
    </row>
    <row r="37" spans="1:6" x14ac:dyDescent="0.25">
      <c r="A37" t="s">
        <v>676</v>
      </c>
    </row>
    <row r="38" spans="1:6" x14ac:dyDescent="0.25">
      <c r="A38" t="s">
        <v>675</v>
      </c>
    </row>
    <row r="39" spans="1:6" x14ac:dyDescent="0.25">
      <c r="A39" t="s">
        <v>674</v>
      </c>
    </row>
    <row r="40" spans="1:6" x14ac:dyDescent="0.25">
      <c r="A40" t="s">
        <v>673</v>
      </c>
    </row>
    <row r="41" spans="1:6" x14ac:dyDescent="0.25">
      <c r="A41" t="s">
        <v>672</v>
      </c>
    </row>
    <row r="42" spans="1:6" x14ac:dyDescent="0.25">
      <c r="A42" t="s">
        <v>671</v>
      </c>
    </row>
    <row r="43" spans="1:6" x14ac:dyDescent="0.25">
      <c r="A43" t="s">
        <v>670</v>
      </c>
    </row>
    <row r="44" spans="1:6" x14ac:dyDescent="0.25">
      <c r="A44" t="s">
        <v>669</v>
      </c>
    </row>
    <row r="45" spans="1:6" x14ac:dyDescent="0.25">
      <c r="A45" t="s">
        <v>668</v>
      </c>
    </row>
    <row r="46" spans="1:6" x14ac:dyDescent="0.25">
      <c r="A46" t="s">
        <v>667</v>
      </c>
    </row>
    <row r="47" spans="1:6" x14ac:dyDescent="0.25">
      <c r="A47" t="s">
        <v>666</v>
      </c>
    </row>
    <row r="48" spans="1:6" x14ac:dyDescent="0.25">
      <c r="A48" t="s">
        <v>665</v>
      </c>
    </row>
    <row r="49" spans="1:1" x14ac:dyDescent="0.25">
      <c r="A49" t="s">
        <v>664</v>
      </c>
    </row>
    <row r="50" spans="1:1" x14ac:dyDescent="0.25">
      <c r="A50" t="s">
        <v>663</v>
      </c>
    </row>
    <row r="51" spans="1:1" x14ac:dyDescent="0.25">
      <c r="A51" t="s">
        <v>662</v>
      </c>
    </row>
    <row r="52" spans="1:1" x14ac:dyDescent="0.25">
      <c r="A52" t="s">
        <v>661</v>
      </c>
    </row>
    <row r="53" spans="1:1" x14ac:dyDescent="0.25">
      <c r="A53" t="s">
        <v>660</v>
      </c>
    </row>
    <row r="54" spans="1:1" x14ac:dyDescent="0.25">
      <c r="A54" t="s">
        <v>659</v>
      </c>
    </row>
    <row r="55" spans="1:1" x14ac:dyDescent="0.25">
      <c r="A55" t="s">
        <v>658</v>
      </c>
    </row>
    <row r="56" spans="1:1" x14ac:dyDescent="0.25">
      <c r="A56" t="s">
        <v>657</v>
      </c>
    </row>
    <row r="57" spans="1:1" x14ac:dyDescent="0.25">
      <c r="A57" t="s">
        <v>656</v>
      </c>
    </row>
    <row r="58" spans="1:1" x14ac:dyDescent="0.25">
      <c r="A58" t="s">
        <v>655</v>
      </c>
    </row>
    <row r="59" spans="1:1" x14ac:dyDescent="0.25">
      <c r="A59" t="s">
        <v>654</v>
      </c>
    </row>
    <row r="60" spans="1:1" x14ac:dyDescent="0.25">
      <c r="A60" t="s">
        <v>653</v>
      </c>
    </row>
    <row r="61" spans="1:1" x14ac:dyDescent="0.25">
      <c r="A61" t="s">
        <v>652</v>
      </c>
    </row>
    <row r="62" spans="1:1" x14ac:dyDescent="0.25">
      <c r="A62" t="s">
        <v>651</v>
      </c>
    </row>
    <row r="63" spans="1:1" x14ac:dyDescent="0.25">
      <c r="A63" t="s">
        <v>650</v>
      </c>
    </row>
    <row r="64" spans="1:1" x14ac:dyDescent="0.25">
      <c r="A64" t="s">
        <v>649</v>
      </c>
    </row>
    <row r="65" spans="1:1" x14ac:dyDescent="0.25">
      <c r="A65" t="s">
        <v>648</v>
      </c>
    </row>
    <row r="66" spans="1:1" x14ac:dyDescent="0.25">
      <c r="A66" t="s">
        <v>647</v>
      </c>
    </row>
    <row r="67" spans="1:1" x14ac:dyDescent="0.25">
      <c r="A67" t="s">
        <v>646</v>
      </c>
    </row>
    <row r="68" spans="1:1" x14ac:dyDescent="0.25">
      <c r="A68" t="s">
        <v>645</v>
      </c>
    </row>
    <row r="69" spans="1:1" x14ac:dyDescent="0.25">
      <c r="A69" t="s">
        <v>644</v>
      </c>
    </row>
    <row r="70" spans="1:1" x14ac:dyDescent="0.25">
      <c r="A70" t="s">
        <v>643</v>
      </c>
    </row>
    <row r="71" spans="1:1" x14ac:dyDescent="0.25">
      <c r="A71" t="s">
        <v>642</v>
      </c>
    </row>
    <row r="72" spans="1:1" x14ac:dyDescent="0.25">
      <c r="A72" t="s">
        <v>641</v>
      </c>
    </row>
    <row r="73" spans="1:1" x14ac:dyDescent="0.25">
      <c r="A73" t="s">
        <v>640</v>
      </c>
    </row>
    <row r="74" spans="1:1" x14ac:dyDescent="0.25">
      <c r="A74" t="s">
        <v>639</v>
      </c>
    </row>
    <row r="75" spans="1:1" x14ac:dyDescent="0.25">
      <c r="A75" t="s">
        <v>638</v>
      </c>
    </row>
    <row r="76" spans="1:1" x14ac:dyDescent="0.25">
      <c r="A76" t="s">
        <v>637</v>
      </c>
    </row>
    <row r="77" spans="1:1" x14ac:dyDescent="0.25">
      <c r="A77" t="s">
        <v>636</v>
      </c>
    </row>
    <row r="78" spans="1:1" x14ac:dyDescent="0.25">
      <c r="A78" t="s">
        <v>635</v>
      </c>
    </row>
    <row r="79" spans="1:1" x14ac:dyDescent="0.25">
      <c r="A79" t="s">
        <v>634</v>
      </c>
    </row>
    <row r="80" spans="1:1" x14ac:dyDescent="0.25">
      <c r="A80" t="s">
        <v>633</v>
      </c>
    </row>
    <row r="81" spans="1:1" x14ac:dyDescent="0.25">
      <c r="A81" t="s">
        <v>632</v>
      </c>
    </row>
    <row r="82" spans="1:1" x14ac:dyDescent="0.25">
      <c r="A82" t="s">
        <v>631</v>
      </c>
    </row>
    <row r="83" spans="1:1" x14ac:dyDescent="0.25">
      <c r="A83" t="s">
        <v>630</v>
      </c>
    </row>
    <row r="84" spans="1:1" x14ac:dyDescent="0.25">
      <c r="A84" t="s">
        <v>629</v>
      </c>
    </row>
    <row r="85" spans="1:1" x14ac:dyDescent="0.25">
      <c r="A85" t="s">
        <v>628</v>
      </c>
    </row>
    <row r="86" spans="1:1" x14ac:dyDescent="0.25">
      <c r="A86" t="s">
        <v>627</v>
      </c>
    </row>
    <row r="87" spans="1:1" x14ac:dyDescent="0.25">
      <c r="A87" t="s">
        <v>626</v>
      </c>
    </row>
    <row r="88" spans="1:1" x14ac:dyDescent="0.25">
      <c r="A88" t="s">
        <v>625</v>
      </c>
    </row>
    <row r="89" spans="1:1" x14ac:dyDescent="0.25">
      <c r="A89" t="s">
        <v>624</v>
      </c>
    </row>
    <row r="90" spans="1:1" x14ac:dyDescent="0.25">
      <c r="A90" t="s">
        <v>623</v>
      </c>
    </row>
    <row r="91" spans="1:1" x14ac:dyDescent="0.25">
      <c r="A91" t="s">
        <v>622</v>
      </c>
    </row>
    <row r="92" spans="1:1" x14ac:dyDescent="0.25">
      <c r="A92" t="s">
        <v>621</v>
      </c>
    </row>
    <row r="93" spans="1:1" x14ac:dyDescent="0.25">
      <c r="A93" t="s">
        <v>620</v>
      </c>
    </row>
    <row r="94" spans="1:1" x14ac:dyDescent="0.25">
      <c r="A94" t="s">
        <v>619</v>
      </c>
    </row>
    <row r="95" spans="1:1" x14ac:dyDescent="0.25">
      <c r="A95" t="s">
        <v>618</v>
      </c>
    </row>
    <row r="96" spans="1:1" x14ac:dyDescent="0.25">
      <c r="A96" t="s">
        <v>617</v>
      </c>
    </row>
    <row r="97" spans="1:1" x14ac:dyDescent="0.25">
      <c r="A97" t="s">
        <v>616</v>
      </c>
    </row>
    <row r="98" spans="1:1" x14ac:dyDescent="0.25">
      <c r="A98" t="s">
        <v>615</v>
      </c>
    </row>
    <row r="99" spans="1:1" x14ac:dyDescent="0.25">
      <c r="A99" t="s">
        <v>614</v>
      </c>
    </row>
    <row r="100" spans="1:1" x14ac:dyDescent="0.25">
      <c r="A100" t="s">
        <v>613</v>
      </c>
    </row>
    <row r="101" spans="1:1" x14ac:dyDescent="0.25">
      <c r="A101" t="s">
        <v>612</v>
      </c>
    </row>
    <row r="102" spans="1:1" x14ac:dyDescent="0.25">
      <c r="A102" t="s">
        <v>611</v>
      </c>
    </row>
    <row r="103" spans="1:1" x14ac:dyDescent="0.25">
      <c r="A103" t="s">
        <v>610</v>
      </c>
    </row>
    <row r="104" spans="1:1" x14ac:dyDescent="0.25">
      <c r="A104" t="s">
        <v>609</v>
      </c>
    </row>
    <row r="105" spans="1:1" x14ac:dyDescent="0.25">
      <c r="A105" t="s">
        <v>608</v>
      </c>
    </row>
    <row r="106" spans="1:1" x14ac:dyDescent="0.25">
      <c r="A106" t="s">
        <v>607</v>
      </c>
    </row>
    <row r="107" spans="1:1" x14ac:dyDescent="0.25">
      <c r="A107" t="s">
        <v>606</v>
      </c>
    </row>
    <row r="108" spans="1:1" x14ac:dyDescent="0.25">
      <c r="A108" t="s">
        <v>605</v>
      </c>
    </row>
    <row r="109" spans="1:1" x14ac:dyDescent="0.25">
      <c r="A109" t="s">
        <v>604</v>
      </c>
    </row>
    <row r="110" spans="1:1" x14ac:dyDescent="0.25">
      <c r="A110" t="s">
        <v>603</v>
      </c>
    </row>
    <row r="111" spans="1:1" x14ac:dyDescent="0.25">
      <c r="A111" t="s">
        <v>602</v>
      </c>
    </row>
    <row r="112" spans="1:1" x14ac:dyDescent="0.25">
      <c r="A112" t="s">
        <v>601</v>
      </c>
    </row>
    <row r="113" spans="1:1" x14ac:dyDescent="0.25">
      <c r="A113" t="s">
        <v>600</v>
      </c>
    </row>
    <row r="114" spans="1:1" x14ac:dyDescent="0.25">
      <c r="A114" t="s">
        <v>599</v>
      </c>
    </row>
    <row r="115" spans="1:1" x14ac:dyDescent="0.25">
      <c r="A115" t="s">
        <v>598</v>
      </c>
    </row>
    <row r="116" spans="1:1" x14ac:dyDescent="0.25">
      <c r="A116" t="s">
        <v>597</v>
      </c>
    </row>
    <row r="117" spans="1:1" x14ac:dyDescent="0.25">
      <c r="A117" t="s">
        <v>596</v>
      </c>
    </row>
    <row r="118" spans="1:1" x14ac:dyDescent="0.25">
      <c r="A118" t="s">
        <v>595</v>
      </c>
    </row>
    <row r="119" spans="1:1" x14ac:dyDescent="0.25">
      <c r="A119" t="s">
        <v>594</v>
      </c>
    </row>
    <row r="120" spans="1:1" x14ac:dyDescent="0.25">
      <c r="A120" t="s">
        <v>593</v>
      </c>
    </row>
    <row r="121" spans="1:1" x14ac:dyDescent="0.25">
      <c r="A121" t="s">
        <v>592</v>
      </c>
    </row>
    <row r="122" spans="1:1" x14ac:dyDescent="0.25">
      <c r="A122" t="s">
        <v>591</v>
      </c>
    </row>
    <row r="123" spans="1:1" x14ac:dyDescent="0.25">
      <c r="A123" t="s">
        <v>590</v>
      </c>
    </row>
    <row r="124" spans="1:1" x14ac:dyDescent="0.25">
      <c r="A124" t="s">
        <v>589</v>
      </c>
    </row>
    <row r="125" spans="1:1" x14ac:dyDescent="0.25">
      <c r="A125" t="s">
        <v>588</v>
      </c>
    </row>
    <row r="126" spans="1:1" x14ac:dyDescent="0.25">
      <c r="A126" t="s">
        <v>587</v>
      </c>
    </row>
    <row r="127" spans="1:1" x14ac:dyDescent="0.25">
      <c r="A127" t="s">
        <v>586</v>
      </c>
    </row>
    <row r="128" spans="1:1" x14ac:dyDescent="0.25">
      <c r="A128" t="s">
        <v>585</v>
      </c>
    </row>
    <row r="129" spans="1:1" x14ac:dyDescent="0.25">
      <c r="A129" t="s">
        <v>584</v>
      </c>
    </row>
    <row r="130" spans="1:1" x14ac:dyDescent="0.25">
      <c r="A130" t="s">
        <v>583</v>
      </c>
    </row>
    <row r="131" spans="1:1" x14ac:dyDescent="0.25">
      <c r="A131" t="s">
        <v>582</v>
      </c>
    </row>
    <row r="132" spans="1:1" x14ac:dyDescent="0.25">
      <c r="A132" t="s">
        <v>581</v>
      </c>
    </row>
    <row r="133" spans="1:1" x14ac:dyDescent="0.25">
      <c r="A133" t="s">
        <v>580</v>
      </c>
    </row>
    <row r="134" spans="1:1" x14ac:dyDescent="0.25">
      <c r="A134" t="s">
        <v>579</v>
      </c>
    </row>
    <row r="135" spans="1:1" x14ac:dyDescent="0.25">
      <c r="A135" t="s">
        <v>578</v>
      </c>
    </row>
    <row r="136" spans="1:1" x14ac:dyDescent="0.25">
      <c r="A136" t="s">
        <v>577</v>
      </c>
    </row>
    <row r="137" spans="1:1" x14ac:dyDescent="0.25">
      <c r="A137" t="s">
        <v>576</v>
      </c>
    </row>
    <row r="138" spans="1:1" x14ac:dyDescent="0.25">
      <c r="A138" t="s">
        <v>575</v>
      </c>
    </row>
    <row r="139" spans="1:1" x14ac:dyDescent="0.25">
      <c r="A139" t="s">
        <v>574</v>
      </c>
    </row>
    <row r="140" spans="1:1" x14ac:dyDescent="0.25">
      <c r="A140" t="s">
        <v>573</v>
      </c>
    </row>
    <row r="141" spans="1:1" x14ac:dyDescent="0.25">
      <c r="A141" t="s">
        <v>572</v>
      </c>
    </row>
    <row r="142" spans="1:1" x14ac:dyDescent="0.25">
      <c r="A142" t="s">
        <v>571</v>
      </c>
    </row>
    <row r="143" spans="1:1" x14ac:dyDescent="0.25">
      <c r="A143" t="s">
        <v>570</v>
      </c>
    </row>
    <row r="144" spans="1:1" x14ac:dyDescent="0.25">
      <c r="A144" t="s">
        <v>569</v>
      </c>
    </row>
    <row r="145" spans="1:1" x14ac:dyDescent="0.25">
      <c r="A145" t="s">
        <v>568</v>
      </c>
    </row>
    <row r="146" spans="1:1" x14ac:dyDescent="0.25">
      <c r="A146" t="s">
        <v>567</v>
      </c>
    </row>
    <row r="147" spans="1:1" x14ac:dyDescent="0.25">
      <c r="A147" t="s">
        <v>566</v>
      </c>
    </row>
    <row r="148" spans="1:1" x14ac:dyDescent="0.25">
      <c r="A148" t="s">
        <v>565</v>
      </c>
    </row>
    <row r="149" spans="1:1" x14ac:dyDescent="0.25">
      <c r="A149" t="s">
        <v>564</v>
      </c>
    </row>
    <row r="150" spans="1:1" x14ac:dyDescent="0.25">
      <c r="A150" t="s">
        <v>563</v>
      </c>
    </row>
    <row r="151" spans="1:1" x14ac:dyDescent="0.25">
      <c r="A151" t="s">
        <v>562</v>
      </c>
    </row>
    <row r="152" spans="1:1" x14ac:dyDescent="0.25">
      <c r="A152" t="s">
        <v>561</v>
      </c>
    </row>
    <row r="153" spans="1:1" x14ac:dyDescent="0.25">
      <c r="A153" t="s">
        <v>560</v>
      </c>
    </row>
    <row r="154" spans="1:1" x14ac:dyDescent="0.25">
      <c r="A154" t="s">
        <v>559</v>
      </c>
    </row>
    <row r="155" spans="1:1" x14ac:dyDescent="0.25">
      <c r="A155" t="s">
        <v>558</v>
      </c>
    </row>
    <row r="156" spans="1:1" x14ac:dyDescent="0.25">
      <c r="A156" t="s">
        <v>557</v>
      </c>
    </row>
    <row r="157" spans="1:1" x14ac:dyDescent="0.25">
      <c r="A157" t="s">
        <v>556</v>
      </c>
    </row>
    <row r="158" spans="1:1" x14ac:dyDescent="0.25">
      <c r="A158" t="s">
        <v>555</v>
      </c>
    </row>
    <row r="159" spans="1:1" x14ac:dyDescent="0.25">
      <c r="A159" t="s">
        <v>554</v>
      </c>
    </row>
    <row r="160" spans="1:1" x14ac:dyDescent="0.25">
      <c r="A160" t="s">
        <v>553</v>
      </c>
    </row>
    <row r="161" spans="1:1" x14ac:dyDescent="0.25">
      <c r="A161" t="s">
        <v>552</v>
      </c>
    </row>
    <row r="162" spans="1:1" x14ac:dyDescent="0.25">
      <c r="A162" t="s">
        <v>551</v>
      </c>
    </row>
    <row r="163" spans="1:1" x14ac:dyDescent="0.25">
      <c r="A163" t="s">
        <v>550</v>
      </c>
    </row>
    <row r="164" spans="1:1" x14ac:dyDescent="0.25">
      <c r="A164" t="s">
        <v>549</v>
      </c>
    </row>
    <row r="165" spans="1:1" x14ac:dyDescent="0.25">
      <c r="A165" t="s">
        <v>548</v>
      </c>
    </row>
    <row r="166" spans="1:1" x14ac:dyDescent="0.25">
      <c r="A166" t="s">
        <v>547</v>
      </c>
    </row>
    <row r="167" spans="1:1" x14ac:dyDescent="0.25">
      <c r="A167" t="s">
        <v>546</v>
      </c>
    </row>
    <row r="168" spans="1:1" x14ac:dyDescent="0.25">
      <c r="A168" t="s">
        <v>545</v>
      </c>
    </row>
    <row r="169" spans="1:1" x14ac:dyDescent="0.25">
      <c r="A169" t="s">
        <v>544</v>
      </c>
    </row>
    <row r="170" spans="1:1" x14ac:dyDescent="0.25">
      <c r="A170" t="s">
        <v>543</v>
      </c>
    </row>
    <row r="171" spans="1:1" x14ac:dyDescent="0.25">
      <c r="A171" t="s">
        <v>542</v>
      </c>
    </row>
    <row r="172" spans="1:1" x14ac:dyDescent="0.25">
      <c r="A172" t="s">
        <v>541</v>
      </c>
    </row>
    <row r="173" spans="1:1" x14ac:dyDescent="0.25">
      <c r="A173" t="s">
        <v>540</v>
      </c>
    </row>
    <row r="174" spans="1:1" x14ac:dyDescent="0.25">
      <c r="A174" t="s">
        <v>539</v>
      </c>
    </row>
    <row r="175" spans="1:1" x14ac:dyDescent="0.25">
      <c r="A175" t="s">
        <v>538</v>
      </c>
    </row>
    <row r="176" spans="1:1" x14ac:dyDescent="0.25">
      <c r="A176" t="s">
        <v>537</v>
      </c>
    </row>
    <row r="177" spans="1:1" x14ac:dyDescent="0.25">
      <c r="A177" t="s">
        <v>536</v>
      </c>
    </row>
    <row r="178" spans="1:1" x14ac:dyDescent="0.25">
      <c r="A178" t="s">
        <v>535</v>
      </c>
    </row>
    <row r="179" spans="1:1" x14ac:dyDescent="0.25">
      <c r="A179" t="s">
        <v>534</v>
      </c>
    </row>
    <row r="180" spans="1:1" x14ac:dyDescent="0.25">
      <c r="A180" t="s">
        <v>533</v>
      </c>
    </row>
    <row r="181" spans="1:1" x14ac:dyDescent="0.25">
      <c r="A181" t="s">
        <v>532</v>
      </c>
    </row>
    <row r="182" spans="1:1" x14ac:dyDescent="0.25">
      <c r="A182" t="s">
        <v>531</v>
      </c>
    </row>
    <row r="183" spans="1:1" x14ac:dyDescent="0.25">
      <c r="A183" t="s">
        <v>530</v>
      </c>
    </row>
    <row r="184" spans="1:1" x14ac:dyDescent="0.25">
      <c r="A184" t="s">
        <v>529</v>
      </c>
    </row>
    <row r="185" spans="1:1" x14ac:dyDescent="0.25">
      <c r="A185" t="s">
        <v>528</v>
      </c>
    </row>
    <row r="186" spans="1:1" x14ac:dyDescent="0.25">
      <c r="A186" t="s">
        <v>527</v>
      </c>
    </row>
    <row r="187" spans="1:1" x14ac:dyDescent="0.25">
      <c r="A187" t="s">
        <v>526</v>
      </c>
    </row>
    <row r="188" spans="1:1" x14ac:dyDescent="0.25">
      <c r="A188" t="s">
        <v>525</v>
      </c>
    </row>
    <row r="189" spans="1:1" x14ac:dyDescent="0.25">
      <c r="A189" t="s">
        <v>524</v>
      </c>
    </row>
    <row r="190" spans="1:1" x14ac:dyDescent="0.25">
      <c r="A190" t="s">
        <v>523</v>
      </c>
    </row>
    <row r="191" spans="1:1" x14ac:dyDescent="0.25">
      <c r="A191" t="s">
        <v>522</v>
      </c>
    </row>
    <row r="192" spans="1:1" x14ac:dyDescent="0.25">
      <c r="A192" t="s">
        <v>521</v>
      </c>
    </row>
    <row r="193" spans="1:1" x14ac:dyDescent="0.25">
      <c r="A193" t="s">
        <v>520</v>
      </c>
    </row>
    <row r="194" spans="1:1" x14ac:dyDescent="0.25">
      <c r="A194" t="s">
        <v>519</v>
      </c>
    </row>
    <row r="195" spans="1:1" x14ac:dyDescent="0.25">
      <c r="A195" t="s">
        <v>518</v>
      </c>
    </row>
    <row r="196" spans="1:1" x14ac:dyDescent="0.25">
      <c r="A196" t="s">
        <v>517</v>
      </c>
    </row>
    <row r="197" spans="1:1" x14ac:dyDescent="0.25">
      <c r="A197" t="s">
        <v>516</v>
      </c>
    </row>
    <row r="198" spans="1:1" x14ac:dyDescent="0.25">
      <c r="A198" t="s">
        <v>515</v>
      </c>
    </row>
    <row r="199" spans="1:1" x14ac:dyDescent="0.25">
      <c r="A199" t="s">
        <v>514</v>
      </c>
    </row>
    <row r="200" spans="1:1" x14ac:dyDescent="0.25">
      <c r="A200" t="s">
        <v>513</v>
      </c>
    </row>
    <row r="201" spans="1:1" x14ac:dyDescent="0.25">
      <c r="A201" t="s">
        <v>512</v>
      </c>
    </row>
    <row r="202" spans="1:1" x14ac:dyDescent="0.25">
      <c r="A202" t="s">
        <v>511</v>
      </c>
    </row>
    <row r="203" spans="1:1" x14ac:dyDescent="0.25">
      <c r="A203" t="s">
        <v>510</v>
      </c>
    </row>
    <row r="204" spans="1:1" x14ac:dyDescent="0.25">
      <c r="A204" t="s">
        <v>509</v>
      </c>
    </row>
    <row r="205" spans="1:1" x14ac:dyDescent="0.25">
      <c r="A205" t="s">
        <v>508</v>
      </c>
    </row>
    <row r="206" spans="1:1" x14ac:dyDescent="0.25">
      <c r="A206" t="s">
        <v>507</v>
      </c>
    </row>
    <row r="207" spans="1:1" x14ac:dyDescent="0.25">
      <c r="A207" t="s">
        <v>506</v>
      </c>
    </row>
    <row r="208" spans="1:1" x14ac:dyDescent="0.25">
      <c r="A208" t="s">
        <v>505</v>
      </c>
    </row>
    <row r="209" spans="1:1" x14ac:dyDescent="0.25">
      <c r="A209" t="s">
        <v>504</v>
      </c>
    </row>
    <row r="210" spans="1:1" x14ac:dyDescent="0.25">
      <c r="A210" t="s">
        <v>503</v>
      </c>
    </row>
    <row r="211" spans="1:1" x14ac:dyDescent="0.25">
      <c r="A211" t="s">
        <v>502</v>
      </c>
    </row>
    <row r="212" spans="1:1" x14ac:dyDescent="0.25">
      <c r="A212" t="s">
        <v>501</v>
      </c>
    </row>
    <row r="213" spans="1:1" x14ac:dyDescent="0.25">
      <c r="A213" t="s">
        <v>500</v>
      </c>
    </row>
    <row r="214" spans="1:1" x14ac:dyDescent="0.25">
      <c r="A214" t="s">
        <v>499</v>
      </c>
    </row>
    <row r="215" spans="1:1" x14ac:dyDescent="0.25">
      <c r="A215" t="s">
        <v>498</v>
      </c>
    </row>
    <row r="216" spans="1:1" x14ac:dyDescent="0.25">
      <c r="A216" t="s">
        <v>497</v>
      </c>
    </row>
    <row r="217" spans="1:1" x14ac:dyDescent="0.25">
      <c r="A217" t="s">
        <v>496</v>
      </c>
    </row>
    <row r="218" spans="1:1" x14ac:dyDescent="0.25">
      <c r="A218" t="s">
        <v>495</v>
      </c>
    </row>
    <row r="219" spans="1:1" x14ac:dyDescent="0.25">
      <c r="A219" t="s">
        <v>494</v>
      </c>
    </row>
    <row r="220" spans="1:1" x14ac:dyDescent="0.25">
      <c r="A220" t="s">
        <v>493</v>
      </c>
    </row>
    <row r="221" spans="1:1" x14ac:dyDescent="0.25">
      <c r="A221" t="s">
        <v>492</v>
      </c>
    </row>
    <row r="222" spans="1:1" x14ac:dyDescent="0.25">
      <c r="A222" t="s">
        <v>491</v>
      </c>
    </row>
    <row r="223" spans="1:1" x14ac:dyDescent="0.25">
      <c r="A223" t="s">
        <v>490</v>
      </c>
    </row>
    <row r="224" spans="1:1" x14ac:dyDescent="0.25">
      <c r="A224" t="s">
        <v>489</v>
      </c>
    </row>
    <row r="225" spans="1:1" x14ac:dyDescent="0.25">
      <c r="A225" t="s">
        <v>488</v>
      </c>
    </row>
    <row r="226" spans="1:1" x14ac:dyDescent="0.25">
      <c r="A226" t="s">
        <v>487</v>
      </c>
    </row>
    <row r="227" spans="1:1" x14ac:dyDescent="0.25">
      <c r="A227" t="s">
        <v>486</v>
      </c>
    </row>
    <row r="228" spans="1:1" x14ac:dyDescent="0.25">
      <c r="A228" t="s">
        <v>485</v>
      </c>
    </row>
    <row r="229" spans="1:1" x14ac:dyDescent="0.25">
      <c r="A229" t="s">
        <v>484</v>
      </c>
    </row>
    <row r="230" spans="1:1" x14ac:dyDescent="0.25">
      <c r="A230" t="s">
        <v>483</v>
      </c>
    </row>
    <row r="231" spans="1:1" x14ac:dyDescent="0.25">
      <c r="A231" t="s">
        <v>482</v>
      </c>
    </row>
    <row r="232" spans="1:1" x14ac:dyDescent="0.25">
      <c r="A232" t="s">
        <v>481</v>
      </c>
    </row>
    <row r="233" spans="1:1" x14ac:dyDescent="0.25">
      <c r="A233" t="s">
        <v>480</v>
      </c>
    </row>
    <row r="234" spans="1:1" x14ac:dyDescent="0.25">
      <c r="A234" t="s">
        <v>479</v>
      </c>
    </row>
    <row r="235" spans="1:1" x14ac:dyDescent="0.25">
      <c r="A235" t="s">
        <v>478</v>
      </c>
    </row>
    <row r="236" spans="1:1" x14ac:dyDescent="0.25">
      <c r="A236" t="s">
        <v>477</v>
      </c>
    </row>
    <row r="237" spans="1:1" x14ac:dyDescent="0.25">
      <c r="A237" t="s">
        <v>476</v>
      </c>
    </row>
    <row r="238" spans="1:1" x14ac:dyDescent="0.25">
      <c r="A238" t="s">
        <v>475</v>
      </c>
    </row>
    <row r="239" spans="1:1" x14ac:dyDescent="0.25">
      <c r="A239" t="s">
        <v>474</v>
      </c>
    </row>
    <row r="240" spans="1:1" x14ac:dyDescent="0.25">
      <c r="A240" t="s">
        <v>473</v>
      </c>
    </row>
    <row r="241" spans="1:1" x14ac:dyDescent="0.25">
      <c r="A241" t="s">
        <v>472</v>
      </c>
    </row>
    <row r="242" spans="1:1" x14ac:dyDescent="0.25">
      <c r="A242" t="s">
        <v>471</v>
      </c>
    </row>
    <row r="243" spans="1:1" x14ac:dyDescent="0.25">
      <c r="A243" t="s">
        <v>470</v>
      </c>
    </row>
    <row r="244" spans="1:1" x14ac:dyDescent="0.25">
      <c r="A244" t="s">
        <v>469</v>
      </c>
    </row>
    <row r="245" spans="1:1" x14ac:dyDescent="0.25">
      <c r="A245" t="s">
        <v>468</v>
      </c>
    </row>
    <row r="246" spans="1:1" x14ac:dyDescent="0.25">
      <c r="A246" t="s">
        <v>467</v>
      </c>
    </row>
    <row r="247" spans="1:1" x14ac:dyDescent="0.25">
      <c r="A247" t="s">
        <v>466</v>
      </c>
    </row>
    <row r="248" spans="1:1" x14ac:dyDescent="0.25">
      <c r="A248" t="s">
        <v>465</v>
      </c>
    </row>
    <row r="249" spans="1:1" x14ac:dyDescent="0.25">
      <c r="A249" t="s">
        <v>464</v>
      </c>
    </row>
    <row r="250" spans="1:1" x14ac:dyDescent="0.25">
      <c r="A250" t="s">
        <v>463</v>
      </c>
    </row>
    <row r="251" spans="1:1" x14ac:dyDescent="0.25">
      <c r="A251" t="s">
        <v>462</v>
      </c>
    </row>
    <row r="252" spans="1:1" x14ac:dyDescent="0.25">
      <c r="A252" t="s">
        <v>461</v>
      </c>
    </row>
    <row r="253" spans="1:1" x14ac:dyDescent="0.25">
      <c r="A253" t="s">
        <v>460</v>
      </c>
    </row>
    <row r="254" spans="1:1" x14ac:dyDescent="0.25">
      <c r="A254" t="s">
        <v>459</v>
      </c>
    </row>
    <row r="255" spans="1:1" x14ac:dyDescent="0.25">
      <c r="A255" t="s">
        <v>458</v>
      </c>
    </row>
    <row r="256" spans="1:1" x14ac:dyDescent="0.25">
      <c r="A256" t="s">
        <v>457</v>
      </c>
    </row>
    <row r="257" spans="1:1" x14ac:dyDescent="0.25">
      <c r="A257" t="s">
        <v>456</v>
      </c>
    </row>
    <row r="258" spans="1:1" x14ac:dyDescent="0.25">
      <c r="A258" t="s">
        <v>455</v>
      </c>
    </row>
    <row r="259" spans="1:1" x14ac:dyDescent="0.25">
      <c r="A259" t="s">
        <v>454</v>
      </c>
    </row>
    <row r="260" spans="1:1" x14ac:dyDescent="0.25">
      <c r="A260" t="s">
        <v>453</v>
      </c>
    </row>
    <row r="261" spans="1:1" x14ac:dyDescent="0.25">
      <c r="A261" t="s">
        <v>452</v>
      </c>
    </row>
    <row r="262" spans="1:1" x14ac:dyDescent="0.25">
      <c r="A262" t="s">
        <v>451</v>
      </c>
    </row>
    <row r="263" spans="1:1" x14ac:dyDescent="0.25">
      <c r="A263" t="s">
        <v>450</v>
      </c>
    </row>
    <row r="264" spans="1:1" x14ac:dyDescent="0.25">
      <c r="A264" t="s">
        <v>449</v>
      </c>
    </row>
    <row r="265" spans="1:1" x14ac:dyDescent="0.25">
      <c r="A265" t="s">
        <v>448</v>
      </c>
    </row>
    <row r="266" spans="1:1" x14ac:dyDescent="0.25">
      <c r="A266" t="s">
        <v>447</v>
      </c>
    </row>
    <row r="267" spans="1:1" x14ac:dyDescent="0.25">
      <c r="A267" t="s">
        <v>446</v>
      </c>
    </row>
    <row r="268" spans="1:1" x14ac:dyDescent="0.25">
      <c r="A268" t="s">
        <v>445</v>
      </c>
    </row>
    <row r="269" spans="1:1" x14ac:dyDescent="0.25">
      <c r="A269" t="s">
        <v>444</v>
      </c>
    </row>
    <row r="270" spans="1:1" x14ac:dyDescent="0.25">
      <c r="A270" t="s">
        <v>443</v>
      </c>
    </row>
    <row r="271" spans="1:1" x14ac:dyDescent="0.25">
      <c r="A271" t="s">
        <v>442</v>
      </c>
    </row>
    <row r="272" spans="1:1" x14ac:dyDescent="0.25">
      <c r="A272" t="s">
        <v>441</v>
      </c>
    </row>
    <row r="273" spans="1:1" x14ac:dyDescent="0.25">
      <c r="A273" t="s">
        <v>440</v>
      </c>
    </row>
    <row r="274" spans="1:1" x14ac:dyDescent="0.25">
      <c r="A274" t="s">
        <v>439</v>
      </c>
    </row>
    <row r="275" spans="1:1" x14ac:dyDescent="0.25">
      <c r="A275" t="s">
        <v>438</v>
      </c>
    </row>
    <row r="276" spans="1:1" x14ac:dyDescent="0.25">
      <c r="A276" t="s">
        <v>437</v>
      </c>
    </row>
    <row r="277" spans="1:1" x14ac:dyDescent="0.25">
      <c r="A277" t="s">
        <v>436</v>
      </c>
    </row>
    <row r="278" spans="1:1" x14ac:dyDescent="0.25">
      <c r="A278" t="s">
        <v>435</v>
      </c>
    </row>
    <row r="279" spans="1:1" x14ac:dyDescent="0.25">
      <c r="A279" t="s">
        <v>434</v>
      </c>
    </row>
    <row r="280" spans="1:1" x14ac:dyDescent="0.25">
      <c r="A280" t="s">
        <v>433</v>
      </c>
    </row>
    <row r="281" spans="1:1" x14ac:dyDescent="0.25">
      <c r="A281" t="s">
        <v>432</v>
      </c>
    </row>
    <row r="282" spans="1:1" x14ac:dyDescent="0.25">
      <c r="A282" t="s">
        <v>431</v>
      </c>
    </row>
    <row r="283" spans="1:1" x14ac:dyDescent="0.25">
      <c r="A283" t="s">
        <v>430</v>
      </c>
    </row>
    <row r="284" spans="1:1" x14ac:dyDescent="0.25">
      <c r="A284" t="s">
        <v>429</v>
      </c>
    </row>
    <row r="285" spans="1:1" x14ac:dyDescent="0.25">
      <c r="A285" t="s">
        <v>428</v>
      </c>
    </row>
    <row r="286" spans="1:1" x14ac:dyDescent="0.25">
      <c r="A286" t="s">
        <v>427</v>
      </c>
    </row>
    <row r="287" spans="1:1" x14ac:dyDescent="0.25">
      <c r="A287" t="s">
        <v>426</v>
      </c>
    </row>
    <row r="288" spans="1:1" x14ac:dyDescent="0.25">
      <c r="A288" t="s">
        <v>425</v>
      </c>
    </row>
    <row r="289" spans="1:1" x14ac:dyDescent="0.25">
      <c r="A289" t="s">
        <v>424</v>
      </c>
    </row>
    <row r="290" spans="1:1" x14ac:dyDescent="0.25">
      <c r="A290" t="s">
        <v>423</v>
      </c>
    </row>
    <row r="291" spans="1:1" x14ac:dyDescent="0.25">
      <c r="A291" t="s">
        <v>422</v>
      </c>
    </row>
    <row r="292" spans="1:1" x14ac:dyDescent="0.25">
      <c r="A292" t="s">
        <v>421</v>
      </c>
    </row>
    <row r="293" spans="1:1" x14ac:dyDescent="0.25">
      <c r="A293" t="s">
        <v>420</v>
      </c>
    </row>
    <row r="294" spans="1:1" x14ac:dyDescent="0.25">
      <c r="A294" t="s">
        <v>419</v>
      </c>
    </row>
    <row r="295" spans="1:1" x14ac:dyDescent="0.25">
      <c r="A295" t="s">
        <v>418</v>
      </c>
    </row>
    <row r="296" spans="1:1" x14ac:dyDescent="0.25">
      <c r="A296" t="s">
        <v>417</v>
      </c>
    </row>
    <row r="297" spans="1:1" x14ac:dyDescent="0.25">
      <c r="A297" t="s">
        <v>416</v>
      </c>
    </row>
    <row r="298" spans="1:1" x14ac:dyDescent="0.25">
      <c r="A298" t="s">
        <v>415</v>
      </c>
    </row>
    <row r="299" spans="1:1" x14ac:dyDescent="0.25">
      <c r="A299" t="s">
        <v>414</v>
      </c>
    </row>
    <row r="300" spans="1:1" x14ac:dyDescent="0.25">
      <c r="A300" t="s">
        <v>413</v>
      </c>
    </row>
    <row r="301" spans="1:1" x14ac:dyDescent="0.25">
      <c r="A301" t="s">
        <v>412</v>
      </c>
    </row>
    <row r="302" spans="1:1" x14ac:dyDescent="0.25">
      <c r="A302" t="s">
        <v>411</v>
      </c>
    </row>
    <row r="303" spans="1:1" x14ac:dyDescent="0.25">
      <c r="A303" t="s">
        <v>410</v>
      </c>
    </row>
    <row r="304" spans="1:1" x14ac:dyDescent="0.25">
      <c r="A304" t="s">
        <v>409</v>
      </c>
    </row>
    <row r="305" spans="1:1" x14ac:dyDescent="0.25">
      <c r="A305" t="s">
        <v>408</v>
      </c>
    </row>
    <row r="306" spans="1:1" x14ac:dyDescent="0.25">
      <c r="A306" t="s">
        <v>407</v>
      </c>
    </row>
    <row r="307" spans="1:1" x14ac:dyDescent="0.25">
      <c r="A307" t="s">
        <v>406</v>
      </c>
    </row>
    <row r="308" spans="1:1" x14ac:dyDescent="0.25">
      <c r="A308" t="s">
        <v>405</v>
      </c>
    </row>
    <row r="309" spans="1:1" x14ac:dyDescent="0.25">
      <c r="A309" t="s">
        <v>404</v>
      </c>
    </row>
    <row r="310" spans="1:1" x14ac:dyDescent="0.25">
      <c r="A310" t="s">
        <v>403</v>
      </c>
    </row>
    <row r="311" spans="1:1" x14ac:dyDescent="0.25">
      <c r="A311" t="s">
        <v>402</v>
      </c>
    </row>
    <row r="312" spans="1:1" x14ac:dyDescent="0.25">
      <c r="A312" t="s">
        <v>401</v>
      </c>
    </row>
    <row r="313" spans="1:1" x14ac:dyDescent="0.25">
      <c r="A313" t="s">
        <v>400</v>
      </c>
    </row>
    <row r="314" spans="1:1" x14ac:dyDescent="0.25">
      <c r="A314" t="s">
        <v>399</v>
      </c>
    </row>
    <row r="315" spans="1:1" x14ac:dyDescent="0.25">
      <c r="A315" t="s">
        <v>398</v>
      </c>
    </row>
    <row r="316" spans="1:1" x14ac:dyDescent="0.25">
      <c r="A316" t="s">
        <v>397</v>
      </c>
    </row>
    <row r="317" spans="1:1" x14ac:dyDescent="0.25">
      <c r="A317" t="s">
        <v>396</v>
      </c>
    </row>
    <row r="318" spans="1:1" x14ac:dyDescent="0.25">
      <c r="A318" t="s">
        <v>395</v>
      </c>
    </row>
    <row r="319" spans="1:1" x14ac:dyDescent="0.25">
      <c r="A319" t="s">
        <v>394</v>
      </c>
    </row>
    <row r="320" spans="1:1" x14ac:dyDescent="0.25">
      <c r="A320" t="s">
        <v>393</v>
      </c>
    </row>
    <row r="321" spans="1:1" x14ac:dyDescent="0.25">
      <c r="A321" t="s">
        <v>392</v>
      </c>
    </row>
    <row r="322" spans="1:1" x14ac:dyDescent="0.25">
      <c r="A322" t="s">
        <v>391</v>
      </c>
    </row>
    <row r="323" spans="1:1" x14ac:dyDescent="0.25">
      <c r="A323" t="s">
        <v>390</v>
      </c>
    </row>
    <row r="324" spans="1:1" x14ac:dyDescent="0.25">
      <c r="A324" t="s">
        <v>389</v>
      </c>
    </row>
    <row r="325" spans="1:1" x14ac:dyDescent="0.25">
      <c r="A325" t="s">
        <v>388</v>
      </c>
    </row>
    <row r="326" spans="1:1" x14ac:dyDescent="0.25">
      <c r="A326" t="s">
        <v>387</v>
      </c>
    </row>
    <row r="327" spans="1:1" x14ac:dyDescent="0.25">
      <c r="A327" t="s">
        <v>386</v>
      </c>
    </row>
    <row r="328" spans="1:1" x14ac:dyDescent="0.25">
      <c r="A328" t="s">
        <v>385</v>
      </c>
    </row>
    <row r="329" spans="1:1" x14ac:dyDescent="0.25">
      <c r="A329" t="s">
        <v>384</v>
      </c>
    </row>
    <row r="330" spans="1:1" x14ac:dyDescent="0.25">
      <c r="A330" t="s">
        <v>383</v>
      </c>
    </row>
    <row r="331" spans="1:1" x14ac:dyDescent="0.25">
      <c r="A331" t="s">
        <v>382</v>
      </c>
    </row>
    <row r="332" spans="1:1" x14ac:dyDescent="0.25">
      <c r="A332" t="s">
        <v>381</v>
      </c>
    </row>
    <row r="333" spans="1:1" x14ac:dyDescent="0.25">
      <c r="A333" t="s">
        <v>380</v>
      </c>
    </row>
    <row r="334" spans="1:1" x14ac:dyDescent="0.25">
      <c r="A334" t="s">
        <v>379</v>
      </c>
    </row>
    <row r="335" spans="1:1" x14ac:dyDescent="0.25">
      <c r="A335" t="s">
        <v>378</v>
      </c>
    </row>
    <row r="336" spans="1:1" x14ac:dyDescent="0.25">
      <c r="A336" t="s">
        <v>377</v>
      </c>
    </row>
    <row r="337" spans="1:1" x14ac:dyDescent="0.25">
      <c r="A337" t="s">
        <v>376</v>
      </c>
    </row>
    <row r="338" spans="1:1" x14ac:dyDescent="0.25">
      <c r="A338" t="s">
        <v>375</v>
      </c>
    </row>
    <row r="339" spans="1:1" x14ac:dyDescent="0.25">
      <c r="A339" t="s">
        <v>374</v>
      </c>
    </row>
    <row r="340" spans="1:1" x14ac:dyDescent="0.25">
      <c r="A340" t="s">
        <v>373</v>
      </c>
    </row>
    <row r="341" spans="1:1" x14ac:dyDescent="0.25">
      <c r="A341" t="s">
        <v>372</v>
      </c>
    </row>
    <row r="342" spans="1:1" x14ac:dyDescent="0.25">
      <c r="A342" t="s">
        <v>371</v>
      </c>
    </row>
    <row r="343" spans="1:1" x14ac:dyDescent="0.25">
      <c r="A343" t="s">
        <v>370</v>
      </c>
    </row>
    <row r="344" spans="1:1" x14ac:dyDescent="0.25">
      <c r="A344" t="s">
        <v>369</v>
      </c>
    </row>
    <row r="345" spans="1:1" x14ac:dyDescent="0.25">
      <c r="A345" t="s">
        <v>368</v>
      </c>
    </row>
    <row r="346" spans="1:1" x14ac:dyDescent="0.25">
      <c r="A346" t="s">
        <v>367</v>
      </c>
    </row>
    <row r="347" spans="1:1" x14ac:dyDescent="0.25">
      <c r="A347" t="s">
        <v>366</v>
      </c>
    </row>
    <row r="348" spans="1:1" x14ac:dyDescent="0.25">
      <c r="A348" t="s">
        <v>365</v>
      </c>
    </row>
    <row r="349" spans="1:1" x14ac:dyDescent="0.25">
      <c r="A349" t="s">
        <v>364</v>
      </c>
    </row>
    <row r="350" spans="1:1" x14ac:dyDescent="0.25">
      <c r="A350" t="s">
        <v>363</v>
      </c>
    </row>
    <row r="351" spans="1:1" x14ac:dyDescent="0.25">
      <c r="A351" t="s">
        <v>362</v>
      </c>
    </row>
    <row r="352" spans="1:1" x14ac:dyDescent="0.25">
      <c r="A352" t="s">
        <v>361</v>
      </c>
    </row>
    <row r="353" spans="1:1" x14ac:dyDescent="0.25">
      <c r="A353" t="s">
        <v>360</v>
      </c>
    </row>
    <row r="354" spans="1:1" x14ac:dyDescent="0.25">
      <c r="A354" t="s">
        <v>359</v>
      </c>
    </row>
    <row r="355" spans="1:1" x14ac:dyDescent="0.25">
      <c r="A355" t="s">
        <v>358</v>
      </c>
    </row>
    <row r="356" spans="1:1" x14ac:dyDescent="0.25">
      <c r="A356" t="s">
        <v>357</v>
      </c>
    </row>
    <row r="357" spans="1:1" x14ac:dyDescent="0.25">
      <c r="A357" t="s">
        <v>356</v>
      </c>
    </row>
    <row r="358" spans="1:1" x14ac:dyDescent="0.25">
      <c r="A358" t="s">
        <v>355</v>
      </c>
    </row>
    <row r="359" spans="1:1" x14ac:dyDescent="0.25">
      <c r="A359" t="s">
        <v>354</v>
      </c>
    </row>
    <row r="360" spans="1:1" x14ac:dyDescent="0.25">
      <c r="A360" t="s">
        <v>353</v>
      </c>
    </row>
    <row r="361" spans="1:1" x14ac:dyDescent="0.25">
      <c r="A361" t="s">
        <v>352</v>
      </c>
    </row>
    <row r="362" spans="1:1" x14ac:dyDescent="0.25">
      <c r="A362" t="s">
        <v>351</v>
      </c>
    </row>
    <row r="363" spans="1:1" x14ac:dyDescent="0.25">
      <c r="A363" t="s">
        <v>350</v>
      </c>
    </row>
    <row r="364" spans="1:1" x14ac:dyDescent="0.25">
      <c r="A364" t="s">
        <v>349</v>
      </c>
    </row>
    <row r="365" spans="1:1" x14ac:dyDescent="0.25">
      <c r="A365" t="s">
        <v>348</v>
      </c>
    </row>
    <row r="366" spans="1:1" x14ac:dyDescent="0.25">
      <c r="A366" t="s">
        <v>347</v>
      </c>
    </row>
    <row r="367" spans="1:1" x14ac:dyDescent="0.25">
      <c r="A367" t="s">
        <v>346</v>
      </c>
    </row>
    <row r="368" spans="1:1" x14ac:dyDescent="0.25">
      <c r="A368" t="s">
        <v>345</v>
      </c>
    </row>
    <row r="369" spans="1:1" x14ac:dyDescent="0.25">
      <c r="A369" t="s">
        <v>344</v>
      </c>
    </row>
    <row r="370" spans="1:1" x14ac:dyDescent="0.25">
      <c r="A370" t="s">
        <v>343</v>
      </c>
    </row>
    <row r="371" spans="1:1" x14ac:dyDescent="0.25">
      <c r="A371" t="s">
        <v>342</v>
      </c>
    </row>
    <row r="372" spans="1:1" x14ac:dyDescent="0.25">
      <c r="A372" t="s">
        <v>341</v>
      </c>
    </row>
    <row r="373" spans="1:1" x14ac:dyDescent="0.25">
      <c r="A373" t="s">
        <v>340</v>
      </c>
    </row>
    <row r="374" spans="1:1" x14ac:dyDescent="0.25">
      <c r="A374" t="s">
        <v>339</v>
      </c>
    </row>
    <row r="375" spans="1:1" x14ac:dyDescent="0.25">
      <c r="A375" t="s">
        <v>338</v>
      </c>
    </row>
    <row r="376" spans="1:1" x14ac:dyDescent="0.25">
      <c r="A376" t="s">
        <v>337</v>
      </c>
    </row>
    <row r="377" spans="1:1" x14ac:dyDescent="0.25">
      <c r="A377" t="s">
        <v>336</v>
      </c>
    </row>
    <row r="378" spans="1:1" x14ac:dyDescent="0.25">
      <c r="A378" t="s">
        <v>335</v>
      </c>
    </row>
    <row r="379" spans="1:1" x14ac:dyDescent="0.25">
      <c r="A379" t="s">
        <v>334</v>
      </c>
    </row>
    <row r="380" spans="1:1" x14ac:dyDescent="0.25">
      <c r="A380" t="s">
        <v>333</v>
      </c>
    </row>
    <row r="381" spans="1:1" x14ac:dyDescent="0.25">
      <c r="A381" t="s">
        <v>332</v>
      </c>
    </row>
    <row r="382" spans="1:1" x14ac:dyDescent="0.25">
      <c r="A382" t="s">
        <v>331</v>
      </c>
    </row>
    <row r="383" spans="1:1" x14ac:dyDescent="0.25">
      <c r="A383" t="s">
        <v>330</v>
      </c>
    </row>
    <row r="384" spans="1:1" x14ac:dyDescent="0.25">
      <c r="A384" t="s">
        <v>329</v>
      </c>
    </row>
    <row r="385" spans="1:1" x14ac:dyDescent="0.25">
      <c r="A385" t="s">
        <v>328</v>
      </c>
    </row>
    <row r="386" spans="1:1" x14ac:dyDescent="0.25">
      <c r="A386" t="s">
        <v>327</v>
      </c>
    </row>
    <row r="387" spans="1:1" x14ac:dyDescent="0.25">
      <c r="A387" t="s">
        <v>326</v>
      </c>
    </row>
    <row r="388" spans="1:1" x14ac:dyDescent="0.25">
      <c r="A388" t="s">
        <v>325</v>
      </c>
    </row>
    <row r="389" spans="1:1" x14ac:dyDescent="0.25">
      <c r="A389" t="s">
        <v>324</v>
      </c>
    </row>
    <row r="390" spans="1:1" x14ac:dyDescent="0.25">
      <c r="A390" t="s">
        <v>323</v>
      </c>
    </row>
    <row r="391" spans="1:1" x14ac:dyDescent="0.25">
      <c r="A391" t="s">
        <v>322</v>
      </c>
    </row>
    <row r="392" spans="1:1" x14ac:dyDescent="0.25">
      <c r="A392" t="s">
        <v>321</v>
      </c>
    </row>
    <row r="393" spans="1:1" x14ac:dyDescent="0.25">
      <c r="A393" t="s">
        <v>320</v>
      </c>
    </row>
    <row r="394" spans="1:1" x14ac:dyDescent="0.25">
      <c r="A394" t="s">
        <v>319</v>
      </c>
    </row>
    <row r="395" spans="1:1" x14ac:dyDescent="0.25">
      <c r="A395" t="s">
        <v>318</v>
      </c>
    </row>
    <row r="396" spans="1:1" x14ac:dyDescent="0.25">
      <c r="A396" t="s">
        <v>317</v>
      </c>
    </row>
    <row r="397" spans="1:1" x14ac:dyDescent="0.25">
      <c r="A397" t="s">
        <v>316</v>
      </c>
    </row>
    <row r="398" spans="1:1" x14ac:dyDescent="0.25">
      <c r="A398" t="s">
        <v>315</v>
      </c>
    </row>
    <row r="399" spans="1:1" x14ac:dyDescent="0.25">
      <c r="A399" t="s">
        <v>314</v>
      </c>
    </row>
    <row r="400" spans="1:1" x14ac:dyDescent="0.25">
      <c r="A400" t="s">
        <v>313</v>
      </c>
    </row>
    <row r="401" spans="1:1" x14ac:dyDescent="0.25">
      <c r="A401" t="s">
        <v>312</v>
      </c>
    </row>
    <row r="402" spans="1:1" x14ac:dyDescent="0.25">
      <c r="A402" t="s">
        <v>311</v>
      </c>
    </row>
    <row r="403" spans="1:1" x14ac:dyDescent="0.25">
      <c r="A403" t="s">
        <v>310</v>
      </c>
    </row>
    <row r="404" spans="1:1" x14ac:dyDescent="0.25">
      <c r="A404" t="s">
        <v>309</v>
      </c>
    </row>
    <row r="405" spans="1:1" x14ac:dyDescent="0.25">
      <c r="A405" t="s">
        <v>308</v>
      </c>
    </row>
    <row r="406" spans="1:1" x14ac:dyDescent="0.25">
      <c r="A406" t="s">
        <v>307</v>
      </c>
    </row>
    <row r="407" spans="1:1" x14ac:dyDescent="0.25">
      <c r="A407" t="s">
        <v>306</v>
      </c>
    </row>
    <row r="408" spans="1:1" x14ac:dyDescent="0.25">
      <c r="A408" t="s">
        <v>305</v>
      </c>
    </row>
    <row r="409" spans="1:1" x14ac:dyDescent="0.25">
      <c r="A409" t="s">
        <v>304</v>
      </c>
    </row>
    <row r="410" spans="1:1" x14ac:dyDescent="0.25">
      <c r="A410" t="s">
        <v>303</v>
      </c>
    </row>
    <row r="411" spans="1:1" x14ac:dyDescent="0.25">
      <c r="A411" t="s">
        <v>302</v>
      </c>
    </row>
    <row r="412" spans="1:1" x14ac:dyDescent="0.25">
      <c r="A412" t="s">
        <v>301</v>
      </c>
    </row>
    <row r="413" spans="1:1" x14ac:dyDescent="0.25">
      <c r="A413" t="s">
        <v>300</v>
      </c>
    </row>
    <row r="414" spans="1:1" x14ac:dyDescent="0.25">
      <c r="A414" t="s">
        <v>299</v>
      </c>
    </row>
    <row r="415" spans="1:1" x14ac:dyDescent="0.25">
      <c r="A415" t="s">
        <v>298</v>
      </c>
    </row>
    <row r="416" spans="1:1" x14ac:dyDescent="0.25">
      <c r="A416" t="s">
        <v>297</v>
      </c>
    </row>
    <row r="417" spans="1:1" x14ac:dyDescent="0.25">
      <c r="A417" t="s">
        <v>296</v>
      </c>
    </row>
    <row r="418" spans="1:1" x14ac:dyDescent="0.25">
      <c r="A418" t="s">
        <v>295</v>
      </c>
    </row>
    <row r="419" spans="1:1" x14ac:dyDescent="0.25">
      <c r="A419" t="s">
        <v>294</v>
      </c>
    </row>
    <row r="420" spans="1:1" x14ac:dyDescent="0.25">
      <c r="A420" t="s">
        <v>293</v>
      </c>
    </row>
    <row r="421" spans="1:1" x14ac:dyDescent="0.25">
      <c r="A421" t="s">
        <v>292</v>
      </c>
    </row>
    <row r="422" spans="1:1" x14ac:dyDescent="0.25">
      <c r="A422" t="s">
        <v>291</v>
      </c>
    </row>
    <row r="423" spans="1:1" x14ac:dyDescent="0.25">
      <c r="A423" t="s">
        <v>290</v>
      </c>
    </row>
    <row r="424" spans="1:1" x14ac:dyDescent="0.25">
      <c r="A424" t="s">
        <v>289</v>
      </c>
    </row>
    <row r="425" spans="1:1" x14ac:dyDescent="0.25">
      <c r="A425" t="s">
        <v>288</v>
      </c>
    </row>
    <row r="426" spans="1:1" x14ac:dyDescent="0.25">
      <c r="A426" t="s">
        <v>287</v>
      </c>
    </row>
    <row r="427" spans="1:1" x14ac:dyDescent="0.25">
      <c r="A427" t="s">
        <v>286</v>
      </c>
    </row>
    <row r="428" spans="1:1" x14ac:dyDescent="0.25">
      <c r="A428" t="s">
        <v>285</v>
      </c>
    </row>
    <row r="429" spans="1:1" x14ac:dyDescent="0.25">
      <c r="A429" t="s">
        <v>284</v>
      </c>
    </row>
    <row r="430" spans="1:1" x14ac:dyDescent="0.25">
      <c r="A430" t="s">
        <v>283</v>
      </c>
    </row>
    <row r="431" spans="1:1" x14ac:dyDescent="0.25">
      <c r="A431" t="s">
        <v>282</v>
      </c>
    </row>
    <row r="432" spans="1:1" x14ac:dyDescent="0.25">
      <c r="A432" t="s">
        <v>281</v>
      </c>
    </row>
    <row r="433" spans="1:1" x14ac:dyDescent="0.25">
      <c r="A433" t="s">
        <v>280</v>
      </c>
    </row>
    <row r="434" spans="1:1" x14ac:dyDescent="0.25">
      <c r="A434" t="s">
        <v>279</v>
      </c>
    </row>
    <row r="435" spans="1:1" x14ac:dyDescent="0.25">
      <c r="A435" t="s">
        <v>278</v>
      </c>
    </row>
    <row r="436" spans="1:1" x14ac:dyDescent="0.25">
      <c r="A436" t="s">
        <v>277</v>
      </c>
    </row>
    <row r="437" spans="1:1" x14ac:dyDescent="0.25">
      <c r="A437" t="s">
        <v>276</v>
      </c>
    </row>
    <row r="438" spans="1:1" x14ac:dyDescent="0.25">
      <c r="A438" t="s">
        <v>275</v>
      </c>
    </row>
    <row r="439" spans="1:1" x14ac:dyDescent="0.25">
      <c r="A439" t="s">
        <v>274</v>
      </c>
    </row>
    <row r="440" spans="1:1" x14ac:dyDescent="0.25">
      <c r="A440" t="s">
        <v>273</v>
      </c>
    </row>
    <row r="441" spans="1:1" x14ac:dyDescent="0.25">
      <c r="A441" t="s">
        <v>272</v>
      </c>
    </row>
    <row r="442" spans="1:1" x14ac:dyDescent="0.25">
      <c r="A442" t="s">
        <v>271</v>
      </c>
    </row>
    <row r="443" spans="1:1" x14ac:dyDescent="0.25">
      <c r="A443" t="s">
        <v>270</v>
      </c>
    </row>
    <row r="444" spans="1:1" x14ac:dyDescent="0.25">
      <c r="A444" t="s">
        <v>269</v>
      </c>
    </row>
    <row r="445" spans="1:1" x14ac:dyDescent="0.25">
      <c r="A445" t="s">
        <v>268</v>
      </c>
    </row>
    <row r="446" spans="1:1" x14ac:dyDescent="0.25">
      <c r="A446" t="s">
        <v>267</v>
      </c>
    </row>
    <row r="447" spans="1:1" x14ac:dyDescent="0.25">
      <c r="A447" t="s">
        <v>266</v>
      </c>
    </row>
    <row r="448" spans="1:1" x14ac:dyDescent="0.25">
      <c r="A448" t="s">
        <v>265</v>
      </c>
    </row>
    <row r="449" spans="1:1" x14ac:dyDescent="0.25">
      <c r="A449" t="s">
        <v>264</v>
      </c>
    </row>
    <row r="450" spans="1:1" x14ac:dyDescent="0.25">
      <c r="A450" t="s">
        <v>263</v>
      </c>
    </row>
    <row r="451" spans="1:1" x14ac:dyDescent="0.25">
      <c r="A451" t="s">
        <v>262</v>
      </c>
    </row>
    <row r="452" spans="1:1" x14ac:dyDescent="0.25">
      <c r="A452" t="s">
        <v>261</v>
      </c>
    </row>
    <row r="453" spans="1:1" x14ac:dyDescent="0.25">
      <c r="A453" t="s">
        <v>260</v>
      </c>
    </row>
    <row r="454" spans="1:1" x14ac:dyDescent="0.25">
      <c r="A454" t="s">
        <v>259</v>
      </c>
    </row>
    <row r="455" spans="1:1" x14ac:dyDescent="0.25">
      <c r="A455" t="s">
        <v>258</v>
      </c>
    </row>
    <row r="456" spans="1:1" x14ac:dyDescent="0.25">
      <c r="A456" t="s">
        <v>257</v>
      </c>
    </row>
    <row r="457" spans="1:1" x14ac:dyDescent="0.25">
      <c r="A457" t="s">
        <v>256</v>
      </c>
    </row>
    <row r="458" spans="1:1" x14ac:dyDescent="0.25">
      <c r="A458" t="s">
        <v>255</v>
      </c>
    </row>
    <row r="459" spans="1:1" x14ac:dyDescent="0.25">
      <c r="A459" t="s">
        <v>254</v>
      </c>
    </row>
    <row r="460" spans="1:1" x14ac:dyDescent="0.25">
      <c r="A460" t="s">
        <v>253</v>
      </c>
    </row>
    <row r="461" spans="1:1" x14ac:dyDescent="0.25">
      <c r="A461" t="s">
        <v>252</v>
      </c>
    </row>
    <row r="462" spans="1:1" x14ac:dyDescent="0.25">
      <c r="A462" t="s">
        <v>251</v>
      </c>
    </row>
    <row r="463" spans="1:1" x14ac:dyDescent="0.25">
      <c r="A463" t="s">
        <v>250</v>
      </c>
    </row>
    <row r="464" spans="1:1" x14ac:dyDescent="0.25">
      <c r="A464" t="s">
        <v>249</v>
      </c>
    </row>
    <row r="465" spans="1:1" x14ac:dyDescent="0.25">
      <c r="A465" t="s">
        <v>248</v>
      </c>
    </row>
    <row r="466" spans="1:1" x14ac:dyDescent="0.25">
      <c r="A466" t="s">
        <v>247</v>
      </c>
    </row>
    <row r="467" spans="1:1" x14ac:dyDescent="0.25">
      <c r="A467" t="s">
        <v>246</v>
      </c>
    </row>
    <row r="468" spans="1:1" x14ac:dyDescent="0.25">
      <c r="A468" t="s">
        <v>245</v>
      </c>
    </row>
    <row r="469" spans="1:1" x14ac:dyDescent="0.25">
      <c r="A469" t="s">
        <v>244</v>
      </c>
    </row>
    <row r="470" spans="1:1" x14ac:dyDescent="0.25">
      <c r="A470" t="s">
        <v>243</v>
      </c>
    </row>
    <row r="471" spans="1:1" x14ac:dyDescent="0.25">
      <c r="A471" t="s">
        <v>242</v>
      </c>
    </row>
    <row r="472" spans="1:1" x14ac:dyDescent="0.25">
      <c r="A472" t="s">
        <v>241</v>
      </c>
    </row>
    <row r="473" spans="1:1" x14ac:dyDescent="0.25">
      <c r="A473" t="s">
        <v>240</v>
      </c>
    </row>
    <row r="474" spans="1:1" x14ac:dyDescent="0.25">
      <c r="A474" t="s">
        <v>239</v>
      </c>
    </row>
    <row r="475" spans="1:1" x14ac:dyDescent="0.25">
      <c r="A475" t="s">
        <v>238</v>
      </c>
    </row>
    <row r="476" spans="1:1" x14ac:dyDescent="0.25">
      <c r="A476" t="s">
        <v>237</v>
      </c>
    </row>
    <row r="477" spans="1:1" x14ac:dyDescent="0.25">
      <c r="A477" t="s">
        <v>236</v>
      </c>
    </row>
    <row r="478" spans="1:1" x14ac:dyDescent="0.25">
      <c r="A478" t="s">
        <v>235</v>
      </c>
    </row>
    <row r="479" spans="1:1" x14ac:dyDescent="0.25">
      <c r="A479" t="s">
        <v>234</v>
      </c>
    </row>
    <row r="480" spans="1:1" x14ac:dyDescent="0.25">
      <c r="A480" t="s">
        <v>233</v>
      </c>
    </row>
    <row r="481" spans="1:1" x14ac:dyDescent="0.25">
      <c r="A481" t="s">
        <v>232</v>
      </c>
    </row>
    <row r="482" spans="1:1" x14ac:dyDescent="0.25">
      <c r="A482" t="s">
        <v>231</v>
      </c>
    </row>
    <row r="483" spans="1:1" x14ac:dyDescent="0.25">
      <c r="A483" t="s">
        <v>230</v>
      </c>
    </row>
    <row r="484" spans="1:1" x14ac:dyDescent="0.25">
      <c r="A484" t="s">
        <v>229</v>
      </c>
    </row>
    <row r="485" spans="1:1" x14ac:dyDescent="0.25">
      <c r="A485" t="s">
        <v>228</v>
      </c>
    </row>
    <row r="486" spans="1:1" x14ac:dyDescent="0.25">
      <c r="A486" t="s">
        <v>227</v>
      </c>
    </row>
    <row r="487" spans="1:1" x14ac:dyDescent="0.25">
      <c r="A487" t="s">
        <v>226</v>
      </c>
    </row>
    <row r="488" spans="1:1" x14ac:dyDescent="0.25">
      <c r="A488" t="s">
        <v>225</v>
      </c>
    </row>
    <row r="489" spans="1:1" x14ac:dyDescent="0.25">
      <c r="A489" t="s">
        <v>224</v>
      </c>
    </row>
    <row r="490" spans="1:1" x14ac:dyDescent="0.25">
      <c r="A490" t="s">
        <v>223</v>
      </c>
    </row>
    <row r="491" spans="1:1" x14ac:dyDescent="0.25">
      <c r="A491" t="s">
        <v>222</v>
      </c>
    </row>
    <row r="492" spans="1:1" x14ac:dyDescent="0.25">
      <c r="A492" t="s">
        <v>221</v>
      </c>
    </row>
    <row r="493" spans="1:1" x14ac:dyDescent="0.25">
      <c r="A493" t="s">
        <v>220</v>
      </c>
    </row>
    <row r="494" spans="1:1" x14ac:dyDescent="0.25">
      <c r="A494" t="s">
        <v>219</v>
      </c>
    </row>
    <row r="495" spans="1:1" x14ac:dyDescent="0.25">
      <c r="A495" t="s">
        <v>218</v>
      </c>
    </row>
    <row r="496" spans="1:1" x14ac:dyDescent="0.25">
      <c r="A496" t="s">
        <v>217</v>
      </c>
    </row>
    <row r="497" spans="1:1" x14ac:dyDescent="0.25">
      <c r="A497" t="s">
        <v>216</v>
      </c>
    </row>
    <row r="498" spans="1:1" x14ac:dyDescent="0.25">
      <c r="A498" t="s">
        <v>215</v>
      </c>
    </row>
    <row r="499" spans="1:1" x14ac:dyDescent="0.25">
      <c r="A499" t="s">
        <v>214</v>
      </c>
    </row>
    <row r="500" spans="1:1" x14ac:dyDescent="0.25">
      <c r="A500" t="s">
        <v>213</v>
      </c>
    </row>
    <row r="501" spans="1:1" x14ac:dyDescent="0.25">
      <c r="A501" t="s">
        <v>212</v>
      </c>
    </row>
    <row r="502" spans="1:1" x14ac:dyDescent="0.25">
      <c r="A502" t="s">
        <v>211</v>
      </c>
    </row>
    <row r="503" spans="1:1" x14ac:dyDescent="0.25">
      <c r="A503" t="s">
        <v>210</v>
      </c>
    </row>
    <row r="504" spans="1:1" x14ac:dyDescent="0.25">
      <c r="A504" t="s">
        <v>209</v>
      </c>
    </row>
    <row r="505" spans="1:1" x14ac:dyDescent="0.25">
      <c r="A505" t="s">
        <v>208</v>
      </c>
    </row>
    <row r="506" spans="1:1" x14ac:dyDescent="0.25">
      <c r="A506" t="s">
        <v>207</v>
      </c>
    </row>
    <row r="507" spans="1:1" x14ac:dyDescent="0.25">
      <c r="A507" t="s">
        <v>206</v>
      </c>
    </row>
    <row r="508" spans="1:1" x14ac:dyDescent="0.25">
      <c r="A508" t="s">
        <v>205</v>
      </c>
    </row>
    <row r="509" spans="1:1" x14ac:dyDescent="0.25">
      <c r="A509" t="s">
        <v>204</v>
      </c>
    </row>
    <row r="510" spans="1:1" x14ac:dyDescent="0.25">
      <c r="A510" t="s">
        <v>203</v>
      </c>
    </row>
    <row r="511" spans="1:1" x14ac:dyDescent="0.25">
      <c r="A511" t="s">
        <v>202</v>
      </c>
    </row>
    <row r="512" spans="1:1" x14ac:dyDescent="0.25">
      <c r="A512" t="s">
        <v>201</v>
      </c>
    </row>
    <row r="513" spans="1:1" x14ac:dyDescent="0.25">
      <c r="A513" t="s">
        <v>200</v>
      </c>
    </row>
    <row r="514" spans="1:1" x14ac:dyDescent="0.25">
      <c r="A514" t="s">
        <v>199</v>
      </c>
    </row>
    <row r="515" spans="1:1" x14ac:dyDescent="0.25">
      <c r="A515" t="s">
        <v>198</v>
      </c>
    </row>
    <row r="516" spans="1:1" x14ac:dyDescent="0.25">
      <c r="A516" t="s">
        <v>197</v>
      </c>
    </row>
    <row r="517" spans="1:1" x14ac:dyDescent="0.25">
      <c r="A517" t="s">
        <v>196</v>
      </c>
    </row>
    <row r="518" spans="1:1" x14ac:dyDescent="0.25">
      <c r="A518" t="s">
        <v>195</v>
      </c>
    </row>
    <row r="519" spans="1:1" x14ac:dyDescent="0.25">
      <c r="A519" t="s">
        <v>194</v>
      </c>
    </row>
    <row r="520" spans="1:1" x14ac:dyDescent="0.25">
      <c r="A520" t="s">
        <v>193</v>
      </c>
    </row>
    <row r="521" spans="1:1" x14ac:dyDescent="0.25">
      <c r="A521" t="s">
        <v>192</v>
      </c>
    </row>
    <row r="522" spans="1:1" x14ac:dyDescent="0.25">
      <c r="A522" t="s">
        <v>191</v>
      </c>
    </row>
    <row r="523" spans="1:1" x14ac:dyDescent="0.25">
      <c r="A523" t="s">
        <v>190</v>
      </c>
    </row>
    <row r="524" spans="1:1" x14ac:dyDescent="0.25">
      <c r="A524" t="s">
        <v>189</v>
      </c>
    </row>
    <row r="525" spans="1:1" x14ac:dyDescent="0.25">
      <c r="A525" t="s">
        <v>188</v>
      </c>
    </row>
    <row r="526" spans="1:1" x14ac:dyDescent="0.25">
      <c r="A526" t="s">
        <v>187</v>
      </c>
    </row>
    <row r="527" spans="1:1" x14ac:dyDescent="0.25">
      <c r="A527" t="s">
        <v>186</v>
      </c>
    </row>
    <row r="528" spans="1:1" x14ac:dyDescent="0.25">
      <c r="A528" t="s">
        <v>185</v>
      </c>
    </row>
    <row r="529" spans="1:1" x14ac:dyDescent="0.25">
      <c r="A529" t="s">
        <v>184</v>
      </c>
    </row>
    <row r="530" spans="1:1" x14ac:dyDescent="0.25">
      <c r="A530" t="s">
        <v>183</v>
      </c>
    </row>
    <row r="531" spans="1:1" x14ac:dyDescent="0.25">
      <c r="A531" t="s">
        <v>182</v>
      </c>
    </row>
    <row r="532" spans="1:1" x14ac:dyDescent="0.25">
      <c r="A532" t="s">
        <v>181</v>
      </c>
    </row>
    <row r="533" spans="1:1" x14ac:dyDescent="0.25">
      <c r="A533" t="s">
        <v>180</v>
      </c>
    </row>
    <row r="534" spans="1:1" x14ac:dyDescent="0.25">
      <c r="A534" t="s">
        <v>179</v>
      </c>
    </row>
    <row r="535" spans="1:1" x14ac:dyDescent="0.25">
      <c r="A535" t="s">
        <v>178</v>
      </c>
    </row>
    <row r="536" spans="1:1" x14ac:dyDescent="0.25">
      <c r="A536" t="s">
        <v>177</v>
      </c>
    </row>
    <row r="537" spans="1:1" x14ac:dyDescent="0.25">
      <c r="A537" t="s">
        <v>176</v>
      </c>
    </row>
    <row r="538" spans="1:1" x14ac:dyDescent="0.25">
      <c r="A538" t="s">
        <v>175</v>
      </c>
    </row>
    <row r="539" spans="1:1" x14ac:dyDescent="0.25">
      <c r="A539" t="s">
        <v>174</v>
      </c>
    </row>
    <row r="540" spans="1:1" x14ac:dyDescent="0.25">
      <c r="A540" t="s">
        <v>173</v>
      </c>
    </row>
    <row r="541" spans="1:1" x14ac:dyDescent="0.25">
      <c r="A541" t="s">
        <v>172</v>
      </c>
    </row>
    <row r="542" spans="1:1" x14ac:dyDescent="0.25">
      <c r="A542" t="s">
        <v>171</v>
      </c>
    </row>
    <row r="543" spans="1:1" x14ac:dyDescent="0.25">
      <c r="A543" t="s">
        <v>170</v>
      </c>
    </row>
    <row r="544" spans="1:1" x14ac:dyDescent="0.25">
      <c r="A544" t="s">
        <v>169</v>
      </c>
    </row>
    <row r="545" spans="1:1" x14ac:dyDescent="0.25">
      <c r="A545" t="s">
        <v>168</v>
      </c>
    </row>
    <row r="546" spans="1:1" x14ac:dyDescent="0.25">
      <c r="A546" t="s">
        <v>167</v>
      </c>
    </row>
    <row r="547" spans="1:1" x14ac:dyDescent="0.25">
      <c r="A547" t="s">
        <v>166</v>
      </c>
    </row>
    <row r="548" spans="1:1" x14ac:dyDescent="0.25">
      <c r="A548" t="s">
        <v>165</v>
      </c>
    </row>
    <row r="549" spans="1:1" x14ac:dyDescent="0.25">
      <c r="A549" t="s">
        <v>164</v>
      </c>
    </row>
    <row r="550" spans="1:1" x14ac:dyDescent="0.25">
      <c r="A550" t="s">
        <v>163</v>
      </c>
    </row>
    <row r="551" spans="1:1" x14ac:dyDescent="0.25">
      <c r="A551" t="s">
        <v>162</v>
      </c>
    </row>
    <row r="552" spans="1:1" x14ac:dyDescent="0.25">
      <c r="A552" t="s">
        <v>161</v>
      </c>
    </row>
    <row r="553" spans="1:1" x14ac:dyDescent="0.25">
      <c r="A553" t="s">
        <v>160</v>
      </c>
    </row>
    <row r="554" spans="1:1" x14ac:dyDescent="0.25">
      <c r="A554" t="s">
        <v>159</v>
      </c>
    </row>
    <row r="555" spans="1:1" x14ac:dyDescent="0.25">
      <c r="A555" t="s">
        <v>158</v>
      </c>
    </row>
    <row r="556" spans="1:1" x14ac:dyDescent="0.25">
      <c r="A556" t="s">
        <v>157</v>
      </c>
    </row>
    <row r="557" spans="1:1" x14ac:dyDescent="0.25">
      <c r="A557" t="s">
        <v>156</v>
      </c>
    </row>
    <row r="558" spans="1:1" x14ac:dyDescent="0.25">
      <c r="A558" t="s">
        <v>155</v>
      </c>
    </row>
    <row r="559" spans="1:1" x14ac:dyDescent="0.25">
      <c r="A559" t="s">
        <v>154</v>
      </c>
    </row>
    <row r="560" spans="1:1" x14ac:dyDescent="0.25">
      <c r="A560" t="s">
        <v>153</v>
      </c>
    </row>
    <row r="561" spans="1:1" x14ac:dyDescent="0.25">
      <c r="A561" t="s">
        <v>152</v>
      </c>
    </row>
    <row r="562" spans="1:1" x14ac:dyDescent="0.25">
      <c r="A562" t="s">
        <v>151</v>
      </c>
    </row>
    <row r="563" spans="1:1" x14ac:dyDescent="0.25">
      <c r="A563" t="s">
        <v>150</v>
      </c>
    </row>
    <row r="564" spans="1:1" x14ac:dyDescent="0.25">
      <c r="A564" t="s">
        <v>149</v>
      </c>
    </row>
    <row r="565" spans="1:1" x14ac:dyDescent="0.25">
      <c r="A565" t="s">
        <v>148</v>
      </c>
    </row>
    <row r="566" spans="1:1" x14ac:dyDescent="0.25">
      <c r="A566" t="s">
        <v>147</v>
      </c>
    </row>
    <row r="567" spans="1:1" x14ac:dyDescent="0.25">
      <c r="A567" t="s">
        <v>146</v>
      </c>
    </row>
    <row r="568" spans="1:1" x14ac:dyDescent="0.25">
      <c r="A568" t="s">
        <v>145</v>
      </c>
    </row>
    <row r="569" spans="1:1" x14ac:dyDescent="0.25">
      <c r="A569" t="s">
        <v>144</v>
      </c>
    </row>
    <row r="570" spans="1:1" x14ac:dyDescent="0.25">
      <c r="A570" t="s">
        <v>143</v>
      </c>
    </row>
    <row r="571" spans="1:1" x14ac:dyDescent="0.25">
      <c r="A571" t="s">
        <v>142</v>
      </c>
    </row>
    <row r="572" spans="1:1" x14ac:dyDescent="0.25">
      <c r="A572" t="s">
        <v>141</v>
      </c>
    </row>
    <row r="573" spans="1:1" x14ac:dyDescent="0.25">
      <c r="A573" t="s">
        <v>140</v>
      </c>
    </row>
    <row r="574" spans="1:1" x14ac:dyDescent="0.25">
      <c r="A574" t="s">
        <v>139</v>
      </c>
    </row>
    <row r="575" spans="1:1" x14ac:dyDescent="0.25">
      <c r="A575" t="s">
        <v>138</v>
      </c>
    </row>
    <row r="576" spans="1:1" x14ac:dyDescent="0.25">
      <c r="A576" t="s">
        <v>137</v>
      </c>
    </row>
    <row r="577" spans="1:1" x14ac:dyDescent="0.25">
      <c r="A577" t="s">
        <v>136</v>
      </c>
    </row>
    <row r="578" spans="1:1" x14ac:dyDescent="0.25">
      <c r="A578" t="s">
        <v>135</v>
      </c>
    </row>
    <row r="579" spans="1:1" x14ac:dyDescent="0.25">
      <c r="A579" t="s">
        <v>134</v>
      </c>
    </row>
    <row r="580" spans="1:1" x14ac:dyDescent="0.25">
      <c r="A580" t="s">
        <v>133</v>
      </c>
    </row>
    <row r="581" spans="1:1" x14ac:dyDescent="0.25">
      <c r="A581" t="s">
        <v>132</v>
      </c>
    </row>
    <row r="582" spans="1:1" x14ac:dyDescent="0.25">
      <c r="A582" t="s">
        <v>131</v>
      </c>
    </row>
    <row r="583" spans="1:1" x14ac:dyDescent="0.25">
      <c r="A583" t="s">
        <v>130</v>
      </c>
    </row>
    <row r="584" spans="1:1" x14ac:dyDescent="0.25">
      <c r="A584" t="s">
        <v>129</v>
      </c>
    </row>
    <row r="585" spans="1:1" x14ac:dyDescent="0.25">
      <c r="A585" t="s">
        <v>128</v>
      </c>
    </row>
    <row r="586" spans="1:1" x14ac:dyDescent="0.25">
      <c r="A586" t="s">
        <v>127</v>
      </c>
    </row>
    <row r="587" spans="1:1" x14ac:dyDescent="0.25">
      <c r="A587" t="s">
        <v>126</v>
      </c>
    </row>
    <row r="588" spans="1:1" x14ac:dyDescent="0.25">
      <c r="A588" t="s">
        <v>125</v>
      </c>
    </row>
    <row r="589" spans="1:1" x14ac:dyDescent="0.25">
      <c r="A589" t="s">
        <v>124</v>
      </c>
    </row>
    <row r="590" spans="1:1" x14ac:dyDescent="0.25">
      <c r="A590" t="s">
        <v>123</v>
      </c>
    </row>
    <row r="591" spans="1:1" x14ac:dyDescent="0.25">
      <c r="A591" t="s">
        <v>122</v>
      </c>
    </row>
    <row r="592" spans="1:1" x14ac:dyDescent="0.25">
      <c r="A592" t="s">
        <v>121</v>
      </c>
    </row>
    <row r="593" spans="1:1" x14ac:dyDescent="0.25">
      <c r="A593" t="s">
        <v>120</v>
      </c>
    </row>
    <row r="594" spans="1:1" x14ac:dyDescent="0.25">
      <c r="A594" t="s">
        <v>119</v>
      </c>
    </row>
    <row r="595" spans="1:1" x14ac:dyDescent="0.25">
      <c r="A595" t="s">
        <v>118</v>
      </c>
    </row>
    <row r="596" spans="1:1" x14ac:dyDescent="0.25">
      <c r="A596" t="s">
        <v>117</v>
      </c>
    </row>
    <row r="597" spans="1:1" x14ac:dyDescent="0.25">
      <c r="A597" t="s">
        <v>116</v>
      </c>
    </row>
    <row r="598" spans="1:1" x14ac:dyDescent="0.25">
      <c r="A598" t="s">
        <v>115</v>
      </c>
    </row>
    <row r="599" spans="1:1" x14ac:dyDescent="0.25">
      <c r="A599" t="s">
        <v>114</v>
      </c>
    </row>
    <row r="600" spans="1:1" x14ac:dyDescent="0.25">
      <c r="A600" t="s">
        <v>113</v>
      </c>
    </row>
    <row r="601" spans="1:1" x14ac:dyDescent="0.25">
      <c r="A601" t="s">
        <v>112</v>
      </c>
    </row>
    <row r="602" spans="1:1" x14ac:dyDescent="0.25">
      <c r="A602" t="s">
        <v>111</v>
      </c>
    </row>
    <row r="603" spans="1:1" x14ac:dyDescent="0.25">
      <c r="A603" t="s">
        <v>110</v>
      </c>
    </row>
    <row r="604" spans="1:1" x14ac:dyDescent="0.25">
      <c r="A604" t="s">
        <v>109</v>
      </c>
    </row>
    <row r="605" spans="1:1" x14ac:dyDescent="0.25">
      <c r="A605" t="s">
        <v>108</v>
      </c>
    </row>
    <row r="606" spans="1:1" x14ac:dyDescent="0.25">
      <c r="A606" t="s">
        <v>107</v>
      </c>
    </row>
    <row r="607" spans="1:1" x14ac:dyDescent="0.25">
      <c r="A607" t="s">
        <v>106</v>
      </c>
    </row>
    <row r="608" spans="1:1" x14ac:dyDescent="0.25">
      <c r="A608" t="s">
        <v>105</v>
      </c>
    </row>
    <row r="609" spans="1:1" x14ac:dyDescent="0.25">
      <c r="A609" t="s">
        <v>104</v>
      </c>
    </row>
    <row r="610" spans="1:1" x14ac:dyDescent="0.25">
      <c r="A610" t="s">
        <v>103</v>
      </c>
    </row>
    <row r="611" spans="1:1" x14ac:dyDescent="0.25">
      <c r="A611" t="s">
        <v>102</v>
      </c>
    </row>
    <row r="612" spans="1:1" x14ac:dyDescent="0.25">
      <c r="A612" t="s">
        <v>101</v>
      </c>
    </row>
    <row r="613" spans="1:1" x14ac:dyDescent="0.25">
      <c r="A613" t="s">
        <v>100</v>
      </c>
    </row>
    <row r="614" spans="1:1" x14ac:dyDescent="0.25">
      <c r="A614" t="s">
        <v>99</v>
      </c>
    </row>
    <row r="615" spans="1:1" x14ac:dyDescent="0.25">
      <c r="A615" t="s">
        <v>98</v>
      </c>
    </row>
    <row r="616" spans="1:1" x14ac:dyDescent="0.25">
      <c r="A616" t="s">
        <v>97</v>
      </c>
    </row>
    <row r="617" spans="1:1" x14ac:dyDescent="0.25">
      <c r="A617" t="s">
        <v>96</v>
      </c>
    </row>
    <row r="618" spans="1:1" x14ac:dyDescent="0.25">
      <c r="A618" t="s">
        <v>95</v>
      </c>
    </row>
    <row r="619" spans="1:1" x14ac:dyDescent="0.25">
      <c r="A619" t="s">
        <v>94</v>
      </c>
    </row>
    <row r="620" spans="1:1" x14ac:dyDescent="0.25">
      <c r="A620" t="s">
        <v>93</v>
      </c>
    </row>
    <row r="621" spans="1:1" x14ac:dyDescent="0.25">
      <c r="A621" t="s">
        <v>92</v>
      </c>
    </row>
    <row r="622" spans="1:1" x14ac:dyDescent="0.25">
      <c r="A622" t="s">
        <v>91</v>
      </c>
    </row>
    <row r="623" spans="1:1" x14ac:dyDescent="0.25">
      <c r="A623" t="s">
        <v>90</v>
      </c>
    </row>
    <row r="624" spans="1:1" x14ac:dyDescent="0.25">
      <c r="A624" t="s">
        <v>89</v>
      </c>
    </row>
    <row r="625" spans="1:1" x14ac:dyDescent="0.25">
      <c r="A625" t="s">
        <v>88</v>
      </c>
    </row>
    <row r="626" spans="1:1" x14ac:dyDescent="0.25">
      <c r="A626" t="s">
        <v>87</v>
      </c>
    </row>
    <row r="627" spans="1:1" x14ac:dyDescent="0.25">
      <c r="A627" t="s">
        <v>86</v>
      </c>
    </row>
    <row r="628" spans="1:1" x14ac:dyDescent="0.25">
      <c r="A628" t="s">
        <v>85</v>
      </c>
    </row>
    <row r="629" spans="1:1" x14ac:dyDescent="0.25">
      <c r="A629" t="s">
        <v>84</v>
      </c>
    </row>
    <row r="630" spans="1:1" x14ac:dyDescent="0.25">
      <c r="A630" t="s">
        <v>83</v>
      </c>
    </row>
    <row r="631" spans="1:1" x14ac:dyDescent="0.25">
      <c r="A631" t="s">
        <v>82</v>
      </c>
    </row>
    <row r="632" spans="1:1" x14ac:dyDescent="0.25">
      <c r="A632" t="s">
        <v>81</v>
      </c>
    </row>
    <row r="633" spans="1:1" x14ac:dyDescent="0.25">
      <c r="A633" t="s">
        <v>80</v>
      </c>
    </row>
    <row r="634" spans="1:1" x14ac:dyDescent="0.25">
      <c r="A634" t="s">
        <v>79</v>
      </c>
    </row>
    <row r="635" spans="1:1" x14ac:dyDescent="0.25">
      <c r="A635" t="s">
        <v>78</v>
      </c>
    </row>
    <row r="636" spans="1:1" x14ac:dyDescent="0.25">
      <c r="A636" t="s">
        <v>77</v>
      </c>
    </row>
    <row r="637" spans="1:1" x14ac:dyDescent="0.25">
      <c r="A637" t="s">
        <v>76</v>
      </c>
    </row>
    <row r="638" spans="1:1" x14ac:dyDescent="0.25">
      <c r="A638" t="s">
        <v>75</v>
      </c>
    </row>
    <row r="639" spans="1:1" x14ac:dyDescent="0.25">
      <c r="A639" t="s">
        <v>74</v>
      </c>
    </row>
    <row r="640" spans="1:1" x14ac:dyDescent="0.25">
      <c r="A640" t="s">
        <v>73</v>
      </c>
    </row>
    <row r="641" spans="1:1" x14ac:dyDescent="0.25">
      <c r="A641" t="s">
        <v>72</v>
      </c>
    </row>
    <row r="642" spans="1:1" x14ac:dyDescent="0.25">
      <c r="A642" t="s">
        <v>71</v>
      </c>
    </row>
    <row r="643" spans="1:1" x14ac:dyDescent="0.25">
      <c r="A643" t="s">
        <v>70</v>
      </c>
    </row>
    <row r="644" spans="1:1" x14ac:dyDescent="0.25">
      <c r="A644" t="s">
        <v>69</v>
      </c>
    </row>
    <row r="645" spans="1:1" x14ac:dyDescent="0.25">
      <c r="A645" t="s">
        <v>68</v>
      </c>
    </row>
    <row r="646" spans="1:1" x14ac:dyDescent="0.25">
      <c r="A646" t="s">
        <v>67</v>
      </c>
    </row>
    <row r="647" spans="1:1" x14ac:dyDescent="0.25">
      <c r="A647" t="s">
        <v>66</v>
      </c>
    </row>
    <row r="648" spans="1:1" x14ac:dyDescent="0.25">
      <c r="A648" t="s">
        <v>65</v>
      </c>
    </row>
    <row r="649" spans="1:1" x14ac:dyDescent="0.25">
      <c r="A649" t="s">
        <v>64</v>
      </c>
    </row>
    <row r="650" spans="1:1" x14ac:dyDescent="0.25">
      <c r="A650" t="s">
        <v>63</v>
      </c>
    </row>
    <row r="651" spans="1:1" x14ac:dyDescent="0.25">
      <c r="A651" t="s">
        <v>62</v>
      </c>
    </row>
    <row r="652" spans="1:1" x14ac:dyDescent="0.25">
      <c r="A652" t="s">
        <v>61</v>
      </c>
    </row>
    <row r="653" spans="1:1" x14ac:dyDescent="0.25">
      <c r="A653" t="s">
        <v>60</v>
      </c>
    </row>
    <row r="654" spans="1:1" x14ac:dyDescent="0.25">
      <c r="A654" t="s">
        <v>59</v>
      </c>
    </row>
    <row r="655" spans="1:1" x14ac:dyDescent="0.25">
      <c r="A655" t="s">
        <v>58</v>
      </c>
    </row>
    <row r="656" spans="1:1" x14ac:dyDescent="0.25">
      <c r="A656" t="s">
        <v>57</v>
      </c>
    </row>
    <row r="657" spans="1:1" x14ac:dyDescent="0.25">
      <c r="A657" t="s">
        <v>56</v>
      </c>
    </row>
    <row r="658" spans="1:1" x14ac:dyDescent="0.25">
      <c r="A658" t="s">
        <v>55</v>
      </c>
    </row>
    <row r="659" spans="1:1" x14ac:dyDescent="0.25">
      <c r="A659" t="s">
        <v>54</v>
      </c>
    </row>
    <row r="660" spans="1:1" x14ac:dyDescent="0.25">
      <c r="A660" t="s">
        <v>53</v>
      </c>
    </row>
    <row r="661" spans="1:1" x14ac:dyDescent="0.25">
      <c r="A661" t="s">
        <v>52</v>
      </c>
    </row>
    <row r="662" spans="1:1" x14ac:dyDescent="0.25">
      <c r="A662" t="s">
        <v>51</v>
      </c>
    </row>
    <row r="663" spans="1:1" x14ac:dyDescent="0.25">
      <c r="A663" t="s">
        <v>50</v>
      </c>
    </row>
    <row r="664" spans="1:1" x14ac:dyDescent="0.25">
      <c r="A664" t="s">
        <v>49</v>
      </c>
    </row>
    <row r="665" spans="1:1" x14ac:dyDescent="0.25">
      <c r="A665" t="s">
        <v>48</v>
      </c>
    </row>
    <row r="666" spans="1:1" x14ac:dyDescent="0.25">
      <c r="A666" t="s">
        <v>47</v>
      </c>
    </row>
    <row r="667" spans="1:1" x14ac:dyDescent="0.25">
      <c r="A667" t="s">
        <v>46</v>
      </c>
    </row>
    <row r="668" spans="1:1" x14ac:dyDescent="0.25">
      <c r="A668" t="s">
        <v>45</v>
      </c>
    </row>
    <row r="669" spans="1:1" x14ac:dyDescent="0.25">
      <c r="A669" t="s">
        <v>44</v>
      </c>
    </row>
    <row r="670" spans="1:1" x14ac:dyDescent="0.25">
      <c r="A670" t="s">
        <v>43</v>
      </c>
    </row>
    <row r="671" spans="1:1" x14ac:dyDescent="0.25">
      <c r="A671" t="s">
        <v>42</v>
      </c>
    </row>
    <row r="672" spans="1:1" x14ac:dyDescent="0.25">
      <c r="A672" t="s">
        <v>41</v>
      </c>
    </row>
    <row r="673" spans="1:1" x14ac:dyDescent="0.25">
      <c r="A673" t="s">
        <v>40</v>
      </c>
    </row>
    <row r="674" spans="1:1" x14ac:dyDescent="0.25">
      <c r="A674" t="s">
        <v>39</v>
      </c>
    </row>
    <row r="675" spans="1:1" x14ac:dyDescent="0.25">
      <c r="A675" t="s">
        <v>38</v>
      </c>
    </row>
    <row r="676" spans="1:1" x14ac:dyDescent="0.25">
      <c r="A676" t="s">
        <v>37</v>
      </c>
    </row>
    <row r="677" spans="1:1" x14ac:dyDescent="0.25">
      <c r="A677" t="s">
        <v>36</v>
      </c>
    </row>
    <row r="678" spans="1:1" x14ac:dyDescent="0.25">
      <c r="A678" t="s">
        <v>35</v>
      </c>
    </row>
    <row r="679" spans="1:1" x14ac:dyDescent="0.25">
      <c r="A679" t="s">
        <v>34</v>
      </c>
    </row>
    <row r="680" spans="1:1" x14ac:dyDescent="0.25">
      <c r="A680" t="s">
        <v>33</v>
      </c>
    </row>
    <row r="681" spans="1:1" x14ac:dyDescent="0.25">
      <c r="A681" t="s">
        <v>32</v>
      </c>
    </row>
    <row r="682" spans="1:1" x14ac:dyDescent="0.25">
      <c r="A682" t="s">
        <v>31</v>
      </c>
    </row>
    <row r="683" spans="1:1" x14ac:dyDescent="0.25">
      <c r="A683" t="s">
        <v>30</v>
      </c>
    </row>
    <row r="684" spans="1:1" x14ac:dyDescent="0.25">
      <c r="A684" t="s">
        <v>29</v>
      </c>
    </row>
    <row r="685" spans="1:1" x14ac:dyDescent="0.25">
      <c r="A685" t="s">
        <v>28</v>
      </c>
    </row>
    <row r="686" spans="1:1" x14ac:dyDescent="0.25">
      <c r="A686" t="s">
        <v>27</v>
      </c>
    </row>
    <row r="687" spans="1:1" x14ac:dyDescent="0.25">
      <c r="A687" t="s">
        <v>26</v>
      </c>
    </row>
    <row r="688" spans="1:1" x14ac:dyDescent="0.25">
      <c r="A688" t="s">
        <v>25</v>
      </c>
    </row>
    <row r="689" spans="1:1" x14ac:dyDescent="0.25">
      <c r="A689" t="s">
        <v>24</v>
      </c>
    </row>
    <row r="690" spans="1:1" x14ac:dyDescent="0.25">
      <c r="A690" t="s">
        <v>23</v>
      </c>
    </row>
    <row r="691" spans="1:1" x14ac:dyDescent="0.25">
      <c r="A691" t="s">
        <v>22</v>
      </c>
    </row>
    <row r="692" spans="1:1" x14ac:dyDescent="0.25">
      <c r="A692" t="s">
        <v>21</v>
      </c>
    </row>
    <row r="693" spans="1:1" x14ac:dyDescent="0.25">
      <c r="A693" t="s">
        <v>20</v>
      </c>
    </row>
    <row r="694" spans="1:1" x14ac:dyDescent="0.25">
      <c r="A694" t="s">
        <v>19</v>
      </c>
    </row>
    <row r="695" spans="1:1" x14ac:dyDescent="0.25">
      <c r="A695" t="s">
        <v>18</v>
      </c>
    </row>
    <row r="696" spans="1:1" x14ac:dyDescent="0.25">
      <c r="A696" t="s">
        <v>17</v>
      </c>
    </row>
    <row r="697" spans="1:1" x14ac:dyDescent="0.25">
      <c r="A697" t="s">
        <v>16</v>
      </c>
    </row>
    <row r="698" spans="1:1" x14ac:dyDescent="0.25">
      <c r="A698" t="s">
        <v>15</v>
      </c>
    </row>
    <row r="699" spans="1:1" x14ac:dyDescent="0.25">
      <c r="A699" t="s">
        <v>14</v>
      </c>
    </row>
    <row r="700" spans="1:1" x14ac:dyDescent="0.25">
      <c r="A700" t="s">
        <v>13</v>
      </c>
    </row>
    <row r="701" spans="1:1" x14ac:dyDescent="0.25">
      <c r="A701" t="s">
        <v>12</v>
      </c>
    </row>
    <row r="702" spans="1:1" x14ac:dyDescent="0.25">
      <c r="A702" t="s">
        <v>11</v>
      </c>
    </row>
    <row r="703" spans="1:1" x14ac:dyDescent="0.25">
      <c r="A703" t="s">
        <v>10</v>
      </c>
    </row>
    <row r="704" spans="1:1" x14ac:dyDescent="0.25">
      <c r="A704" t="s">
        <v>9</v>
      </c>
    </row>
    <row r="705" spans="1:1" x14ac:dyDescent="0.25">
      <c r="A705" t="s">
        <v>8</v>
      </c>
    </row>
    <row r="706" spans="1:1" x14ac:dyDescent="0.25">
      <c r="A706" t="s">
        <v>7</v>
      </c>
    </row>
    <row r="707" spans="1:1" x14ac:dyDescent="0.25">
      <c r="A707" t="s">
        <v>6</v>
      </c>
    </row>
    <row r="708" spans="1:1" x14ac:dyDescent="0.25">
      <c r="A708" t="s">
        <v>5</v>
      </c>
    </row>
    <row r="709" spans="1:1" x14ac:dyDescent="0.25">
      <c r="A709" t="s">
        <v>4</v>
      </c>
    </row>
    <row r="710" spans="1:1" x14ac:dyDescent="0.25">
      <c r="A710" t="s">
        <v>3</v>
      </c>
    </row>
    <row r="711" spans="1:1" x14ac:dyDescent="0.25">
      <c r="A711" t="s">
        <v>2</v>
      </c>
    </row>
    <row r="712" spans="1:1" x14ac:dyDescent="0.25">
      <c r="A712" t="s">
        <v>1</v>
      </c>
    </row>
    <row r="713" spans="1:1" x14ac:dyDescent="0.25">
      <c r="A713" t="s">
        <v>0</v>
      </c>
    </row>
  </sheetData>
  <mergeCells count="1">
    <mergeCell ref="H11:I11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34679-F642-4583-B119-E0AC75AE5EB5}">
  <sheetPr codeName="Sheet3"/>
  <dimension ref="A1:V2"/>
  <sheetViews>
    <sheetView topLeftCell="I1" workbookViewId="0">
      <selection activeCell="V14" sqref="V14"/>
    </sheetView>
  </sheetViews>
  <sheetFormatPr defaultRowHeight="15" x14ac:dyDescent="0.25"/>
  <cols>
    <col min="1" max="1" width="17.7109375" customWidth="1"/>
    <col min="2" max="2" width="4.7109375" customWidth="1"/>
    <col min="3" max="3" width="4.42578125" customWidth="1"/>
    <col min="4" max="4" width="6.42578125" customWidth="1"/>
    <col min="5" max="5" width="20" customWidth="1"/>
    <col min="6" max="6" width="26.42578125" customWidth="1"/>
    <col min="7" max="7" width="23.5703125" customWidth="1"/>
    <col min="8" max="8" width="30" customWidth="1"/>
    <col min="9" max="9" width="13.85546875" bestFit="1" customWidth="1"/>
    <col min="10" max="10" width="12.5703125" customWidth="1"/>
    <col min="11" max="11" width="10.42578125" customWidth="1"/>
    <col min="12" max="12" width="11.28515625" customWidth="1"/>
    <col min="13" max="13" width="15.7109375" customWidth="1"/>
    <col min="14" max="14" width="11.5703125" customWidth="1"/>
    <col min="15" max="15" width="11" customWidth="1"/>
    <col min="16" max="16" width="13.7109375" customWidth="1"/>
    <col min="17" max="17" width="11.42578125" customWidth="1"/>
    <col min="18" max="18" width="11.28515625" customWidth="1"/>
    <col min="21" max="21" width="12.140625" customWidth="1"/>
    <col min="22" max="22" width="17" customWidth="1"/>
  </cols>
  <sheetData>
    <row r="1" spans="1:22" x14ac:dyDescent="0.25">
      <c r="A1" t="s">
        <v>799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792</v>
      </c>
      <c r="H1" t="s">
        <v>800</v>
      </c>
      <c r="I1" t="s">
        <v>781</v>
      </c>
      <c r="J1" t="s">
        <v>775</v>
      </c>
      <c r="K1" t="s">
        <v>776</v>
      </c>
      <c r="L1" t="s">
        <v>777</v>
      </c>
      <c r="M1" t="s">
        <v>778</v>
      </c>
      <c r="N1" t="s">
        <v>779</v>
      </c>
      <c r="O1" t="s">
        <v>780</v>
      </c>
      <c r="P1" t="s">
        <v>818</v>
      </c>
      <c r="Q1" t="s">
        <v>782</v>
      </c>
      <c r="R1" t="s">
        <v>783</v>
      </c>
      <c r="S1" t="s">
        <v>784</v>
      </c>
      <c r="T1" t="s">
        <v>785</v>
      </c>
      <c r="U1" t="s">
        <v>786</v>
      </c>
      <c r="V1" t="s">
        <v>787</v>
      </c>
    </row>
    <row r="2" spans="1:22" x14ac:dyDescent="0.25">
      <c r="A2" t="s">
        <v>819</v>
      </c>
      <c r="B2" t="s">
        <v>784</v>
      </c>
      <c r="H2" t="s">
        <v>784</v>
      </c>
      <c r="P2" t="e">
        <v>#DIV/0!</v>
      </c>
      <c r="Q2" t="e">
        <v>#N/A</v>
      </c>
      <c r="R2" s="63" t="e">
        <v>#DIV/0!</v>
      </c>
      <c r="S2" t="e">
        <v>#N/A</v>
      </c>
      <c r="T2" t="e">
        <v>#DIV/0!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studentInput</vt:lpstr>
      <vt:lpstr>lists</vt:lpstr>
      <vt:lpstr>studentList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Ford</dc:creator>
  <cp:lastModifiedBy>User</cp:lastModifiedBy>
  <dcterms:created xsi:type="dcterms:W3CDTF">2020-08-25T11:35:46Z</dcterms:created>
  <dcterms:modified xsi:type="dcterms:W3CDTF">2020-09-01T05:42:30Z</dcterms:modified>
</cp:coreProperties>
</file>